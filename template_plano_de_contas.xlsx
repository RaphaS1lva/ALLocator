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-my.sharepoint.com/personal/t825026_santander_com_br/Documents/Documentos/ALLocator AI v2/"/>
    </mc:Choice>
  </mc:AlternateContent>
  <xr:revisionPtr revIDLastSave="8" documentId="13_ncr:1_{14FE6BB2-DF19-48CD-931C-8481F000A786}" xr6:coauthVersionLast="47" xr6:coauthVersionMax="47" xr10:uidLastSave="{EABE1FEC-B275-4CE4-B9E6-427B96DF0BFB}"/>
  <bookViews>
    <workbookView xWindow="-28920" yWindow="-120" windowWidth="29040" windowHeight="15720" activeTab="2" xr2:uid="{00000000-000D-0000-FFFF-FFFF00000000}"/>
  </bookViews>
  <sheets>
    <sheet name="shadow" sheetId="1" r:id="rId1"/>
    <sheet name="rastreabilidade" sheetId="2" r:id="rId2"/>
    <sheet name="listas" sheetId="3" r:id="rId3"/>
    <sheet name="Base de dados" sheetId="4" state="hidden" r:id="rId4"/>
  </sheets>
  <definedNames>
    <definedName name="_xlnm._FilterDatabase" localSheetId="1" hidden="1">rastreabilidade!$A$1:$N$1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0" i="1" l="1" a="1"/>
  <c r="AA40" i="1" s="1"/>
  <c r="AA39" i="1" a="1"/>
  <c r="AA39" i="1" s="1"/>
  <c r="AA36" i="1" a="1"/>
  <c r="AA36" i="1" s="1"/>
  <c r="AA34" i="1" a="1"/>
  <c r="AA34" i="1" s="1"/>
  <c r="AA33" i="1" a="1"/>
  <c r="AA33" i="1" s="1"/>
  <c r="AA30" i="1" a="1"/>
  <c r="AA30" i="1" s="1"/>
  <c r="AA29" i="1" a="1"/>
  <c r="AA29" i="1" s="1"/>
  <c r="AA28" i="1" a="1"/>
  <c r="AA28" i="1" s="1"/>
  <c r="AA27" i="1" a="1"/>
  <c r="AA27" i="1" s="1"/>
  <c r="AA25" i="1" a="1"/>
  <c r="AA25" i="1" s="1"/>
  <c r="AA24" i="1" a="1"/>
  <c r="AA24" i="1" s="1"/>
  <c r="AA22" i="1" a="1"/>
  <c r="AA22" i="1" s="1"/>
  <c r="AA21" i="1" a="1"/>
  <c r="AA21" i="1" s="1"/>
  <c r="AA19" i="1" a="1"/>
  <c r="AA19" i="1" s="1"/>
  <c r="AA17" i="1" a="1"/>
  <c r="AA17" i="1" s="1"/>
  <c r="AA16" i="1" a="1"/>
  <c r="AA16" i="1" s="1"/>
  <c r="AA14" i="1" a="1"/>
  <c r="AA14" i="1" s="1"/>
  <c r="AA13" i="1" a="1"/>
  <c r="AA13" i="1" s="1"/>
  <c r="AA11" i="1" a="1"/>
  <c r="AA11" i="1" s="1"/>
  <c r="AA10" i="1" a="1"/>
  <c r="AA10" i="1" s="1"/>
  <c r="AA8" i="1" a="1"/>
  <c r="AA8" i="1" s="1"/>
  <c r="AA6" i="1" a="1"/>
  <c r="AA6" i="1" s="1"/>
  <c r="I79" i="1" a="1"/>
  <c r="I79" i="1" s="1"/>
  <c r="AA5" i="1" a="1"/>
  <c r="AA5" i="1" s="1"/>
  <c r="I65" i="1" a="1"/>
  <c r="I65" i="1" s="1"/>
  <c r="I49" i="1" a="1"/>
  <c r="I49" i="1" s="1"/>
  <c r="I78" i="1" a="1"/>
  <c r="I78" i="1" s="1"/>
  <c r="I77" i="1" a="1"/>
  <c r="I77" i="1" s="1"/>
  <c r="I76" i="1" a="1"/>
  <c r="I76" i="1" s="1"/>
  <c r="I75" i="1" a="1"/>
  <c r="I75" i="1" s="1"/>
  <c r="I64" i="1" a="1"/>
  <c r="I64" i="1" s="1"/>
  <c r="I63" i="1" a="1"/>
  <c r="I63" i="1" s="1"/>
  <c r="I62" i="1" a="1"/>
  <c r="I62" i="1" s="1"/>
  <c r="I70" i="1" a="1"/>
  <c r="I70" i="1" s="1"/>
  <c r="I69" i="1" a="1"/>
  <c r="I69" i="1" s="1"/>
  <c r="I68" i="1" a="1"/>
  <c r="I68" i="1" s="1"/>
  <c r="I67" i="1" a="1"/>
  <c r="I67" i="1" s="1"/>
  <c r="I66" i="1" a="1"/>
  <c r="I66" i="1" s="1"/>
  <c r="I60" i="1" a="1"/>
  <c r="I60" i="1" s="1"/>
  <c r="I59" i="1" a="1"/>
  <c r="I59" i="1" s="1"/>
  <c r="I58" i="1" a="1"/>
  <c r="I58" i="1" s="1"/>
  <c r="I57" i="1" a="1"/>
  <c r="I57" i="1" s="1"/>
  <c r="I56" i="1" a="1"/>
  <c r="I56" i="1" s="1"/>
  <c r="I55" i="1" a="1"/>
  <c r="I55" i="1" s="1"/>
  <c r="I54" i="1" a="1"/>
  <c r="I54" i="1" s="1"/>
  <c r="I53" i="1" a="1"/>
  <c r="I53" i="1" s="1"/>
  <c r="I48" i="1" a="1"/>
  <c r="I48" i="1" s="1"/>
  <c r="I47" i="1" a="1"/>
  <c r="I47" i="1" s="1"/>
  <c r="I46" i="1" a="1"/>
  <c r="I46" i="1" s="1"/>
  <c r="I45" i="1" a="1"/>
  <c r="I45" i="1" s="1"/>
  <c r="I51" i="1" a="1"/>
  <c r="I51" i="1" s="1"/>
  <c r="I50" i="1" a="1"/>
  <c r="I50" i="1" s="1"/>
  <c r="I39" i="1" a="1"/>
  <c r="I39" i="1" s="1"/>
  <c r="I38" i="1" a="1"/>
  <c r="I38" i="1" s="1"/>
  <c r="I36" i="1" a="1"/>
  <c r="I36" i="1" s="1"/>
  <c r="I35" i="1" a="1"/>
  <c r="I35" i="1" s="1"/>
  <c r="I34" i="1" a="1"/>
  <c r="I34" i="1" s="1"/>
  <c r="I32" i="1" a="1"/>
  <c r="I32" i="1" s="1"/>
  <c r="I31" i="1" a="1"/>
  <c r="I31" i="1" s="1"/>
  <c r="I29" i="1" a="1"/>
  <c r="I29" i="1" s="1"/>
  <c r="I28" i="1" a="1"/>
  <c r="I28" i="1" s="1"/>
  <c r="I27" i="1" a="1"/>
  <c r="I27" i="1" s="1"/>
  <c r="I26" i="1" a="1"/>
  <c r="I26" i="1" s="1"/>
  <c r="I25" i="1" a="1"/>
  <c r="I25" i="1" s="1"/>
  <c r="I24" i="1" a="1"/>
  <c r="I24" i="1" s="1"/>
  <c r="I23" i="1" a="1"/>
  <c r="I23" i="1" s="1"/>
  <c r="I21" i="1" a="1"/>
  <c r="I21" i="1" s="1"/>
  <c r="I20" i="1" a="1"/>
  <c r="I20" i="1" s="1"/>
  <c r="I19" i="1" a="1"/>
  <c r="I19" i="1" s="1"/>
  <c r="I18" i="1" a="1"/>
  <c r="I18" i="1" s="1"/>
  <c r="I17" i="1" a="1"/>
  <c r="I17" i="1" s="1"/>
  <c r="I16" i="1" a="1"/>
  <c r="I16" i="1" s="1"/>
  <c r="I14" i="1" a="1"/>
  <c r="I14" i="1" s="1"/>
  <c r="I13" i="1" a="1"/>
  <c r="I13" i="1" s="1"/>
  <c r="I12" i="1" a="1"/>
  <c r="I12" i="1" s="1"/>
  <c r="I10" i="1" a="1"/>
  <c r="I10" i="1" s="1"/>
  <c r="I9" i="1" a="1"/>
  <c r="I9" i="1" s="1"/>
  <c r="I8" i="1" a="1"/>
  <c r="I8" i="1" s="1"/>
  <c r="I6" i="1" a="1"/>
  <c r="I6" i="1" s="1"/>
  <c r="I5" i="1" a="1"/>
  <c r="I5" i="1" s="1"/>
  <c r="A2" i="3" a="1"/>
  <c r="A2" i="3" s="1"/>
  <c r="G78" i="1"/>
  <c r="F78" i="1"/>
  <c r="E78" i="1"/>
  <c r="B78" i="1"/>
  <c r="G77" i="1"/>
  <c r="F77" i="1"/>
  <c r="E77" i="1"/>
  <c r="B77" i="1"/>
  <c r="G76" i="1"/>
  <c r="F76" i="1"/>
  <c r="E76" i="1"/>
  <c r="B76" i="1"/>
  <c r="G75" i="1"/>
  <c r="F75" i="1"/>
  <c r="E75" i="1"/>
  <c r="B75" i="1"/>
  <c r="AM72" i="1"/>
  <c r="AM71" i="1"/>
  <c r="AM70" i="1"/>
  <c r="F70" i="1" s="1"/>
  <c r="B70" i="1"/>
  <c r="AM69" i="1"/>
  <c r="E69" i="1" s="1"/>
  <c r="B69" i="1"/>
  <c r="AM68" i="1"/>
  <c r="E68" i="1" s="1"/>
  <c r="B68" i="1"/>
  <c r="AM67" i="1"/>
  <c r="G67" i="1" s="1"/>
  <c r="B67" i="1"/>
  <c r="AM66" i="1"/>
  <c r="G66" i="1" s="1"/>
  <c r="B66" i="1"/>
  <c r="AM65" i="1"/>
  <c r="F65" i="1" s="1"/>
  <c r="B65" i="1"/>
  <c r="AM64" i="1"/>
  <c r="G64" i="1" s="1"/>
  <c r="B64" i="1"/>
  <c r="AM63" i="1"/>
  <c r="G63" i="1" s="1"/>
  <c r="B63" i="1"/>
  <c r="AM62" i="1"/>
  <c r="F62" i="1" s="1"/>
  <c r="B62" i="1"/>
  <c r="AM61" i="1"/>
  <c r="AM60" i="1"/>
  <c r="G60" i="1" s="1"/>
  <c r="B60" i="1"/>
  <c r="AM59" i="1"/>
  <c r="F59" i="1" s="1"/>
  <c r="B59" i="1"/>
  <c r="AM58" i="1"/>
  <c r="G58" i="1" s="1"/>
  <c r="B58" i="1"/>
  <c r="AM57" i="1"/>
  <c r="G57" i="1" s="1"/>
  <c r="B57" i="1"/>
  <c r="AM56" i="1"/>
  <c r="F56" i="1" s="1"/>
  <c r="B56" i="1"/>
  <c r="AM55" i="1"/>
  <c r="F55" i="1" s="1"/>
  <c r="B55" i="1"/>
  <c r="AM54" i="1"/>
  <c r="E54" i="1" s="1"/>
  <c r="B54" i="1"/>
  <c r="AM53" i="1"/>
  <c r="G53" i="1" s="1"/>
  <c r="B53" i="1"/>
  <c r="AM52" i="1"/>
  <c r="AM51" i="1"/>
  <c r="F51" i="1" s="1"/>
  <c r="B51" i="1"/>
  <c r="AM50" i="1"/>
  <c r="G50" i="1" s="1"/>
  <c r="B50" i="1"/>
  <c r="AM49" i="1"/>
  <c r="G49" i="1" s="1"/>
  <c r="B49" i="1"/>
  <c r="AM48" i="1"/>
  <c r="F48" i="1" s="1"/>
  <c r="B48" i="1"/>
  <c r="AM47" i="1"/>
  <c r="E47" i="1" s="1"/>
  <c r="B47" i="1"/>
  <c r="AM46" i="1"/>
  <c r="E46" i="1" s="1"/>
  <c r="B46" i="1"/>
  <c r="AM45" i="1"/>
  <c r="E45" i="1" s="1"/>
  <c r="B45" i="1"/>
  <c r="G44" i="1"/>
  <c r="F44" i="1"/>
  <c r="E44" i="1"/>
  <c r="B44" i="1"/>
  <c r="G43" i="1"/>
  <c r="F43" i="1"/>
  <c r="E43" i="1"/>
  <c r="AN41" i="1"/>
  <c r="AM41" i="1"/>
  <c r="AN40" i="1"/>
  <c r="W40" i="1" s="1"/>
  <c r="AM40" i="1"/>
  <c r="T40" i="1"/>
  <c r="AN39" i="1"/>
  <c r="Y39" i="1" s="1"/>
  <c r="AM39" i="1"/>
  <c r="E39" i="1" s="1"/>
  <c r="T39" i="1"/>
  <c r="B39" i="1"/>
  <c r="AN38" i="1"/>
  <c r="AM38" i="1"/>
  <c r="G38" i="1" s="1"/>
  <c r="B38" i="1"/>
  <c r="AN37" i="1"/>
  <c r="AM37" i="1"/>
  <c r="Q37" i="1"/>
  <c r="J37" i="1"/>
  <c r="AN36" i="1"/>
  <c r="W36" i="1" s="1"/>
  <c r="AM36" i="1"/>
  <c r="E36" i="1" s="1"/>
  <c r="T36" i="1"/>
  <c r="B36" i="1"/>
  <c r="AN35" i="1"/>
  <c r="AM35" i="1"/>
  <c r="G35" i="1" s="1"/>
  <c r="B35" i="1"/>
  <c r="AN34" i="1"/>
  <c r="Y34" i="1" s="1"/>
  <c r="AM34" i="1"/>
  <c r="E34" i="1" s="1"/>
  <c r="T34" i="1"/>
  <c r="B34" i="1"/>
  <c r="AN33" i="1"/>
  <c r="W33" i="1" s="1"/>
  <c r="AM33" i="1"/>
  <c r="T33" i="1"/>
  <c r="Q33" i="1"/>
  <c r="J33" i="1"/>
  <c r="AN32" i="1"/>
  <c r="AM32" i="1"/>
  <c r="G32" i="1" s="1"/>
  <c r="B32" i="1"/>
  <c r="AN31" i="1"/>
  <c r="AM31" i="1"/>
  <c r="E31" i="1" s="1"/>
  <c r="B31" i="1"/>
  <c r="AN30" i="1"/>
  <c r="Y30" i="1" s="1"/>
  <c r="AM30" i="1"/>
  <c r="T30" i="1"/>
  <c r="Q30" i="1"/>
  <c r="J30" i="1"/>
  <c r="AN29" i="1"/>
  <c r="Y29" i="1" s="1"/>
  <c r="AM29" i="1"/>
  <c r="G29" i="1" s="1"/>
  <c r="T29" i="1"/>
  <c r="B29" i="1"/>
  <c r="AN28" i="1"/>
  <c r="Y28" i="1" s="1"/>
  <c r="AM28" i="1"/>
  <c r="E28" i="1" s="1"/>
  <c r="T28" i="1"/>
  <c r="B28" i="1"/>
  <c r="AN27" i="1"/>
  <c r="W27" i="1" s="1"/>
  <c r="AM27" i="1"/>
  <c r="G27" i="1" s="1"/>
  <c r="T27" i="1"/>
  <c r="B27" i="1"/>
  <c r="AN26" i="1"/>
  <c r="AM26" i="1"/>
  <c r="G26" i="1" s="1"/>
  <c r="B26" i="1"/>
  <c r="AN25" i="1"/>
  <c r="Y25" i="1" s="1"/>
  <c r="AM25" i="1"/>
  <c r="E25" i="1" s="1"/>
  <c r="T25" i="1"/>
  <c r="B25" i="1"/>
  <c r="AN24" i="1"/>
  <c r="W24" i="1" s="1"/>
  <c r="AM24" i="1"/>
  <c r="E24" i="1" s="1"/>
  <c r="T24" i="1"/>
  <c r="B24" i="1"/>
  <c r="AN23" i="1"/>
  <c r="AM23" i="1"/>
  <c r="G23" i="1" s="1"/>
  <c r="B23" i="1"/>
  <c r="AN22" i="1"/>
  <c r="Y22" i="1" s="1"/>
  <c r="AM22" i="1"/>
  <c r="T22" i="1"/>
  <c r="AN21" i="1"/>
  <c r="X21" i="1" s="1"/>
  <c r="AM21" i="1"/>
  <c r="G21" i="1" s="1"/>
  <c r="T21" i="1"/>
  <c r="B21" i="1"/>
  <c r="AN20" i="1"/>
  <c r="AM20" i="1"/>
  <c r="E20" i="1" s="1"/>
  <c r="B20" i="1"/>
  <c r="AN19" i="1"/>
  <c r="W19" i="1" s="1"/>
  <c r="AM19" i="1"/>
  <c r="G19" i="1" s="1"/>
  <c r="T19" i="1"/>
  <c r="B19" i="1"/>
  <c r="AN18" i="1"/>
  <c r="AM18" i="1"/>
  <c r="G18" i="1" s="1"/>
  <c r="B18" i="1"/>
  <c r="AN17" i="1"/>
  <c r="Y17" i="1" s="1"/>
  <c r="AM17" i="1"/>
  <c r="E17" i="1" s="1"/>
  <c r="T17" i="1"/>
  <c r="B17" i="1"/>
  <c r="AN16" i="1"/>
  <c r="W16" i="1" s="1"/>
  <c r="AM16" i="1"/>
  <c r="G16" i="1" s="1"/>
  <c r="T16" i="1"/>
  <c r="B16" i="1"/>
  <c r="AN15" i="1"/>
  <c r="AM15" i="1"/>
  <c r="Q15" i="1"/>
  <c r="J15" i="1"/>
  <c r="AN14" i="1"/>
  <c r="Y14" i="1" s="1"/>
  <c r="AM14" i="1"/>
  <c r="E14" i="1" s="1"/>
  <c r="T14" i="1"/>
  <c r="B14" i="1"/>
  <c r="AN13" i="1"/>
  <c r="W13" i="1" s="1"/>
  <c r="AM13" i="1"/>
  <c r="G13" i="1" s="1"/>
  <c r="T13" i="1"/>
  <c r="B13" i="1"/>
  <c r="AN12" i="1"/>
  <c r="AM12" i="1"/>
  <c r="G12" i="1" s="1"/>
  <c r="B12" i="1"/>
  <c r="AN11" i="1"/>
  <c r="Y11" i="1" s="1"/>
  <c r="AM11" i="1"/>
  <c r="T11" i="1"/>
  <c r="Q11" i="1"/>
  <c r="J11" i="1"/>
  <c r="AN10" i="1"/>
  <c r="W10" i="1" s="1"/>
  <c r="AM10" i="1"/>
  <c r="G10" i="1" s="1"/>
  <c r="T10" i="1"/>
  <c r="B10" i="1"/>
  <c r="AN9" i="1"/>
  <c r="AM9" i="1"/>
  <c r="G9" i="1" s="1"/>
  <c r="B9" i="1"/>
  <c r="AN8" i="1"/>
  <c r="Y8" i="1" s="1"/>
  <c r="AM8" i="1"/>
  <c r="E8" i="1" s="1"/>
  <c r="T8" i="1"/>
  <c r="B8" i="1"/>
  <c r="AN7" i="1"/>
  <c r="AM7" i="1"/>
  <c r="AN6" i="1"/>
  <c r="Y6" i="1" s="1"/>
  <c r="AM6" i="1"/>
  <c r="E6" i="1" s="1"/>
  <c r="T6" i="1"/>
  <c r="B6" i="1"/>
  <c r="AN5" i="1"/>
  <c r="AM5" i="1"/>
  <c r="G5" i="1" s="1"/>
  <c r="T5" i="1"/>
  <c r="B5" i="1"/>
  <c r="G4" i="1"/>
  <c r="Y4" i="1" s="1"/>
  <c r="F4" i="1"/>
  <c r="X4" i="1" s="1"/>
  <c r="E4" i="1"/>
  <c r="W4" i="1" s="1"/>
  <c r="B4" i="1"/>
  <c r="T4" i="1" s="1"/>
  <c r="F14" i="1" l="1"/>
  <c r="E53" i="1"/>
  <c r="F69" i="1"/>
  <c r="E51" i="1"/>
  <c r="W29" i="1"/>
  <c r="T23" i="1"/>
  <c r="F47" i="1"/>
  <c r="G51" i="1"/>
  <c r="G52" i="1" s="1"/>
  <c r="F53" i="1"/>
  <c r="G45" i="1"/>
  <c r="G47" i="1"/>
  <c r="B79" i="1"/>
  <c r="B80" i="1" s="1"/>
  <c r="F27" i="1"/>
  <c r="F8" i="1"/>
  <c r="F39" i="1"/>
  <c r="W6" i="1"/>
  <c r="G39" i="1"/>
  <c r="G54" i="1"/>
  <c r="Y21" i="1"/>
  <c r="Y23" i="1" s="1"/>
  <c r="B33" i="1"/>
  <c r="F45" i="1"/>
  <c r="E79" i="1"/>
  <c r="E80" i="1" s="1"/>
  <c r="E12" i="1"/>
  <c r="F36" i="1"/>
  <c r="F12" i="1"/>
  <c r="F17" i="1"/>
  <c r="B7" i="1"/>
  <c r="F21" i="1"/>
  <c r="G55" i="1"/>
  <c r="F6" i="1"/>
  <c r="Y27" i="1"/>
  <c r="Y31" i="1" s="1"/>
  <c r="E32" i="1"/>
  <c r="E33" i="1" s="1"/>
  <c r="F46" i="1"/>
  <c r="G68" i="1"/>
  <c r="J22" i="1"/>
  <c r="E21" i="1"/>
  <c r="B30" i="1"/>
  <c r="G24" i="1"/>
  <c r="E27" i="1"/>
  <c r="J40" i="1"/>
  <c r="Q40" i="1"/>
  <c r="G46" i="1"/>
  <c r="G69" i="1"/>
  <c r="F24" i="1"/>
  <c r="Q22" i="1"/>
  <c r="E35" i="1"/>
  <c r="E37" i="1" s="1"/>
  <c r="B52" i="1"/>
  <c r="B61" i="1" s="1"/>
  <c r="G59" i="1"/>
  <c r="F68" i="1"/>
  <c r="E26" i="1"/>
  <c r="F20" i="1"/>
  <c r="F26" i="1"/>
  <c r="E18" i="1"/>
  <c r="F32" i="1"/>
  <c r="X33" i="1"/>
  <c r="F35" i="1"/>
  <c r="T7" i="1"/>
  <c r="T9" i="1" s="1"/>
  <c r="T12" i="1" s="1"/>
  <c r="T15" i="1" s="1"/>
  <c r="T18" i="1" s="1"/>
  <c r="T20" i="1" s="1"/>
  <c r="B11" i="1"/>
  <c r="F18" i="1"/>
  <c r="F31" i="1"/>
  <c r="Y33" i="1"/>
  <c r="F54" i="1"/>
  <c r="G65" i="1"/>
  <c r="E67" i="1"/>
  <c r="F67" i="1"/>
  <c r="G17" i="1"/>
  <c r="B15" i="1"/>
  <c r="W30" i="1"/>
  <c r="G8" i="1"/>
  <c r="G11" i="1" s="1"/>
  <c r="X24" i="1"/>
  <c r="X30" i="1"/>
  <c r="W39" i="1"/>
  <c r="X40" i="1"/>
  <c r="G79" i="1"/>
  <c r="G80" i="1" s="1"/>
  <c r="X39" i="1"/>
  <c r="Y40" i="1"/>
  <c r="G6" i="1"/>
  <c r="G7" i="1" s="1"/>
  <c r="E9" i="1"/>
  <c r="W11" i="1"/>
  <c r="W17" i="1"/>
  <c r="Y36" i="1"/>
  <c r="E66" i="1"/>
  <c r="F9" i="1"/>
  <c r="W14" i="1"/>
  <c r="W21" i="1"/>
  <c r="T31" i="1"/>
  <c r="E55" i="1"/>
  <c r="F60" i="1"/>
  <c r="E65" i="1"/>
  <c r="F66" i="1"/>
  <c r="G36" i="1"/>
  <c r="G14" i="1"/>
  <c r="G15" i="1" s="1"/>
  <c r="F79" i="1"/>
  <c r="F80" i="1" s="1"/>
  <c r="B71" i="1"/>
  <c r="Y24" i="1"/>
  <c r="X36" i="1"/>
  <c r="E23" i="1"/>
  <c r="E60" i="1"/>
  <c r="F23" i="1"/>
  <c r="W8" i="1"/>
  <c r="X27" i="1"/>
  <c r="B37" i="1"/>
  <c r="E38" i="1"/>
  <c r="E59" i="1"/>
  <c r="W5" i="1"/>
  <c r="Y5" i="1"/>
  <c r="X5" i="1"/>
  <c r="G31" i="1"/>
  <c r="G33" i="1" s="1"/>
  <c r="X10" i="1"/>
  <c r="X13" i="1"/>
  <c r="X16" i="1"/>
  <c r="X19" i="1"/>
  <c r="E5" i="1"/>
  <c r="E7" i="1" s="1"/>
  <c r="E10" i="1"/>
  <c r="Y10" i="1"/>
  <c r="E13" i="1"/>
  <c r="Y13" i="1"/>
  <c r="E16" i="1"/>
  <c r="Y16" i="1"/>
  <c r="E19" i="1"/>
  <c r="Y19" i="1"/>
  <c r="G20" i="1"/>
  <c r="F5" i="1"/>
  <c r="F10" i="1"/>
  <c r="F13" i="1"/>
  <c r="F16" i="1"/>
  <c r="F19" i="1"/>
  <c r="F25" i="1"/>
  <c r="F28" i="1"/>
  <c r="F34" i="1"/>
  <c r="G25" i="1"/>
  <c r="G28" i="1"/>
  <c r="G34" i="1"/>
  <c r="G48" i="1"/>
  <c r="G56" i="1"/>
  <c r="G62" i="1"/>
  <c r="G70" i="1"/>
  <c r="X6" i="1"/>
  <c r="X8" i="1"/>
  <c r="X11" i="1"/>
  <c r="X14" i="1"/>
  <c r="X17" i="1"/>
  <c r="X29" i="1"/>
  <c r="F38" i="1"/>
  <c r="W22" i="1"/>
  <c r="W25" i="1"/>
  <c r="W28" i="1"/>
  <c r="E29" i="1"/>
  <c r="W34" i="1"/>
  <c r="E50" i="1"/>
  <c r="E52" i="1" s="1"/>
  <c r="E58" i="1"/>
  <c r="E64" i="1"/>
  <c r="X22" i="1"/>
  <c r="X23" i="1" s="1"/>
  <c r="X25" i="1"/>
  <c r="X28" i="1"/>
  <c r="F29" i="1"/>
  <c r="X34" i="1"/>
  <c r="E49" i="1"/>
  <c r="F50" i="1"/>
  <c r="F52" i="1" s="1"/>
  <c r="E57" i="1"/>
  <c r="F58" i="1"/>
  <c r="E63" i="1"/>
  <c r="F64" i="1"/>
  <c r="E48" i="1"/>
  <c r="F49" i="1"/>
  <c r="E56" i="1"/>
  <c r="F57" i="1"/>
  <c r="E62" i="1"/>
  <c r="F63" i="1"/>
  <c r="E70" i="1"/>
  <c r="B72" i="1" l="1"/>
  <c r="Q41" i="1"/>
  <c r="F7" i="1"/>
  <c r="W7" i="1"/>
  <c r="W9" i="1" s="1"/>
  <c r="W12" i="1" s="1"/>
  <c r="W15" i="1" s="1"/>
  <c r="W18" i="1" s="1"/>
  <c r="W20" i="1" s="1"/>
  <c r="F33" i="1"/>
  <c r="G37" i="1"/>
  <c r="G40" i="1" s="1"/>
  <c r="F11" i="1"/>
  <c r="J41" i="1"/>
  <c r="W31" i="1"/>
  <c r="B40" i="1"/>
  <c r="T26" i="1"/>
  <c r="T32" i="1" s="1"/>
  <c r="T35" i="1" s="1"/>
  <c r="T37" i="1" s="1"/>
  <c r="T41" i="1" s="1"/>
  <c r="E30" i="1"/>
  <c r="E15" i="1"/>
  <c r="F37" i="1"/>
  <c r="F40" i="1" s="1"/>
  <c r="F15" i="1"/>
  <c r="E40" i="1"/>
  <c r="B22" i="1"/>
  <c r="G30" i="1"/>
  <c r="E11" i="1"/>
  <c r="G71" i="1"/>
  <c r="F30" i="1"/>
  <c r="B84" i="1"/>
  <c r="X31" i="1"/>
  <c r="G61" i="1"/>
  <c r="F71" i="1"/>
  <c r="G22" i="1"/>
  <c r="W23" i="1"/>
  <c r="E71" i="1"/>
  <c r="X7" i="1"/>
  <c r="Y7" i="1"/>
  <c r="Y9" i="1" s="1"/>
  <c r="Y12" i="1" s="1"/>
  <c r="Y15" i="1" s="1"/>
  <c r="F61" i="1"/>
  <c r="E61" i="1"/>
  <c r="F22" i="1" l="1"/>
  <c r="F41" i="1" s="1"/>
  <c r="E22" i="1"/>
  <c r="E41" i="1" s="1"/>
  <c r="F72" i="1"/>
  <c r="F84" i="1" s="1"/>
  <c r="B41" i="1"/>
  <c r="B88" i="1" s="1"/>
  <c r="G41" i="1"/>
  <c r="W26" i="1"/>
  <c r="W32" i="1" s="1"/>
  <c r="W35" i="1" s="1"/>
  <c r="W37" i="1" s="1"/>
  <c r="W41" i="1" s="1"/>
  <c r="G72" i="1"/>
  <c r="G84" i="1" s="1"/>
  <c r="E72" i="1"/>
  <c r="E84" i="1" s="1"/>
  <c r="Y26" i="1"/>
  <c r="Y32" i="1" s="1"/>
  <c r="Y35" i="1" s="1"/>
  <c r="Y37" i="1" s="1"/>
  <c r="Y41" i="1" s="1"/>
  <c r="Y18" i="1"/>
  <c r="X9" i="1"/>
  <c r="X12" i="1" s="1"/>
  <c r="X15" i="1" s="1"/>
  <c r="F88" i="1" l="1"/>
  <c r="E88" i="1"/>
  <c r="G88" i="1"/>
  <c r="C2" i="3" a="1"/>
  <c r="C2" i="3" s="1"/>
  <c r="X26" i="1"/>
  <c r="X32" i="1" s="1"/>
  <c r="X35" i="1" s="1"/>
  <c r="X37" i="1" s="1"/>
  <c r="X41" i="1" s="1"/>
  <c r="X18" i="1"/>
  <c r="Y20" i="1"/>
  <c r="E2" i="3" l="1" a="1"/>
  <c r="E2" i="3" s="1"/>
  <c r="X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<sst xmlns="http://schemas.openxmlformats.org/spreadsheetml/2006/main" count="212" uniqueCount="176">
  <si>
    <t>Origem</t>
  </si>
  <si>
    <t>Adicionar</t>
  </si>
  <si>
    <t>Retirar</t>
  </si>
  <si>
    <t>Dica de Uso: Se A2 / C2 / E2 mostrarem so o cabecalho: clique na celula, (F2 + Enter)</t>
  </si>
  <si>
    <t>Shadow Empresa:</t>
  </si>
  <si>
    <t>Sim</t>
  </si>
  <si>
    <t>ANTERIOR</t>
  </si>
  <si>
    <t>Memoria Anteior</t>
  </si>
  <si>
    <t>ANO 1</t>
  </si>
  <si>
    <t>ANO 2</t>
  </si>
  <si>
    <t>ANO 3</t>
  </si>
  <si>
    <t>Memoria Atual</t>
  </si>
  <si>
    <t>Memoria Atual Ajustada</t>
  </si>
  <si>
    <t>ATUAL 1</t>
  </si>
  <si>
    <t>ATUAL 2</t>
  </si>
  <si>
    <t>ATUAL 3</t>
  </si>
  <si>
    <t>Inversor de Sinal</t>
  </si>
  <si>
    <t>ATIVO</t>
  </si>
  <si>
    <t>DEMONSTRAÇÃO DE RESULTADOS</t>
  </si>
  <si>
    <t>Caixa</t>
  </si>
  <si>
    <t>Vendas Totais</t>
  </si>
  <si>
    <t>Aplicações Financeiras</t>
  </si>
  <si>
    <t>-Impostos</t>
  </si>
  <si>
    <t>Disponibilidades</t>
  </si>
  <si>
    <t>Vendas Líquidas</t>
  </si>
  <si>
    <t>Clientes</t>
  </si>
  <si>
    <t>-Custo de Produtos Vendidos</t>
  </si>
  <si>
    <t>Clientes - Grupo</t>
  </si>
  <si>
    <t>Resultado Bruto</t>
  </si>
  <si>
    <t>-PDD</t>
  </si>
  <si>
    <t>- Despesas com Vendas</t>
  </si>
  <si>
    <t>Clientes Líquido</t>
  </si>
  <si>
    <t>- Despesas Administrativas</t>
  </si>
  <si>
    <t>Matéria-Prima</t>
  </si>
  <si>
    <t xml:space="preserve">Resultado da Exploração </t>
  </si>
  <si>
    <t>Produtos em Elaboração</t>
  </si>
  <si>
    <t>+/-Outras Receitas/Despesas Operacionais</t>
  </si>
  <si>
    <t>Produtos Acabados</t>
  </si>
  <si>
    <t>+/-Provisões Operacionais</t>
  </si>
  <si>
    <t>Estoques</t>
  </si>
  <si>
    <t>Resultado Operacional (EBIT)</t>
  </si>
  <si>
    <t>Ajustes derivativos / cambio (AC)</t>
  </si>
  <si>
    <t>- Depreciação e amortização (imob e intang)</t>
  </si>
  <si>
    <t>Adiantamento a Fornecedores</t>
  </si>
  <si>
    <t>- Depreciação/Amortização dos Arrendamentos Op.</t>
  </si>
  <si>
    <t>Mútuo Financeiro</t>
  </si>
  <si>
    <t>EBITDA</t>
  </si>
  <si>
    <t>Impostos a Recuperar</t>
  </si>
  <si>
    <t>- Despesas/Custo de Aluguel</t>
  </si>
  <si>
    <t>Outros Operacionais (AC)</t>
  </si>
  <si>
    <t>EBITDA ex-IFRS16</t>
  </si>
  <si>
    <t>Outros Não Operacionais (AC)</t>
  </si>
  <si>
    <t>-  Despesas Financeiras</t>
  </si>
  <si>
    <t>TOTAL ATIVO CIRCULANTE</t>
  </si>
  <si>
    <t>+ Receitas Financeiras</t>
  </si>
  <si>
    <t>Ajustes derivativos / cambio (ANC)</t>
  </si>
  <si>
    <t>+/- Resultado Financeiro</t>
  </si>
  <si>
    <t>Impostos Diferidos</t>
  </si>
  <si>
    <t>+/- Variações Cambiais</t>
  </si>
  <si>
    <t>Impostos a recuperar/Crédito tributário</t>
  </si>
  <si>
    <t>+/- Equivalência Patrimonial</t>
  </si>
  <si>
    <t>Mútuo Financeiro LP</t>
  </si>
  <si>
    <t>Lucro antes de Impostos e Extraordinários</t>
  </si>
  <si>
    <t>Aplicações Financeiras de LP</t>
  </si>
  <si>
    <t>Outros não recorrentes e/ou não operacionais</t>
  </si>
  <si>
    <t>Outros Operacionais (ANC)</t>
  </si>
  <si>
    <t>+/- Créditos Tributários</t>
  </si>
  <si>
    <t>Outros Não Operacionais LP (ANC)</t>
  </si>
  <si>
    <t>+/- Resultado de alienação do Imobilizado</t>
  </si>
  <si>
    <t>TOTAL ATIVO REALIZÁVEL LP</t>
  </si>
  <si>
    <t>- Juros de Arrendamento Operacional</t>
  </si>
  <si>
    <t>Direito de Uso</t>
  </si>
  <si>
    <t>+/- Resultado Extraordinário</t>
  </si>
  <si>
    <t>- Depreciação acumulada (Direito de uso)</t>
  </si>
  <si>
    <t xml:space="preserve">Lucro antes de Impostos </t>
  </si>
  <si>
    <t>Direito de Uso Líquido</t>
  </si>
  <si>
    <t>- Impostos Pagos</t>
  </si>
  <si>
    <t>Terreno</t>
  </si>
  <si>
    <t>+/- Impostos Diferidos</t>
  </si>
  <si>
    <t>Edificios, maquinas e outros</t>
  </si>
  <si>
    <t>Lucro Liquido</t>
  </si>
  <si>
    <t>-Depreciação Acumulada</t>
  </si>
  <si>
    <t>+/- Resultados Abrangentes</t>
  </si>
  <si>
    <t>Imobilizado líquido</t>
  </si>
  <si>
    <t>Lucro Líquido+Resultado Abrangente a Distribuir</t>
  </si>
  <si>
    <t>Investimentos</t>
  </si>
  <si>
    <t>Outros Ativos Intangiveis / Goodwill</t>
  </si>
  <si>
    <t>- Dividendos</t>
  </si>
  <si>
    <t>TOTAL ATIVO FIXO</t>
  </si>
  <si>
    <t>+/- Participações Minoritárias</t>
  </si>
  <si>
    <t>TOTAL ATIVO</t>
  </si>
  <si>
    <t>Lucro após dividendos e minoritários</t>
  </si>
  <si>
    <t>PASSIVO</t>
  </si>
  <si>
    <t>Bancos</t>
  </si>
  <si>
    <t>Outras Dividas Financeiras</t>
  </si>
  <si>
    <t>Confirming</t>
  </si>
  <si>
    <t>Dividas Fiscais de Curto Prazo</t>
  </si>
  <si>
    <t>Ajustes derivativos / cambio (+)</t>
  </si>
  <si>
    <t>Fornecedores - Partes Relacionadas</t>
  </si>
  <si>
    <t>Fornecedores</t>
  </si>
  <si>
    <t>Passivo de Arrendamento Circulante</t>
  </si>
  <si>
    <t>Salários</t>
  </si>
  <si>
    <t>Impostos</t>
  </si>
  <si>
    <t>Adiantamento de Clientes</t>
  </si>
  <si>
    <t>Dividendos a Pagar</t>
  </si>
  <si>
    <t>Outros Operacionais (PC)</t>
  </si>
  <si>
    <t>Outros Não Operacionais (PC)</t>
  </si>
  <si>
    <t>TOTAL PASSIVO CIRCULANTE</t>
  </si>
  <si>
    <t>Bancos LP</t>
  </si>
  <si>
    <t>Outras Dividas Financeiras LP</t>
  </si>
  <si>
    <t>Dividas Fiscais LP</t>
  </si>
  <si>
    <t>Ajustes derivativos / cambio (PNC)</t>
  </si>
  <si>
    <t>Passivo de Arrendamento LP</t>
  </si>
  <si>
    <t>Provisões</t>
  </si>
  <si>
    <t>Outros Operacionais (PNC)</t>
  </si>
  <si>
    <t>Outros Não Operacionais (PNC)</t>
  </si>
  <si>
    <t>TOTAL PASSIVO NÃO CIRCULANTE</t>
  </si>
  <si>
    <t>TOTAL PASSIVO</t>
  </si>
  <si>
    <t>PARTICIPAÇÕES MINORITÁRIAS</t>
  </si>
  <si>
    <t>PARTICIPAÇÕES MINORITÁRIAS|Passivo|PL</t>
  </si>
  <si>
    <t>Capital Social</t>
  </si>
  <si>
    <t>Capital Social|Passivo|PL</t>
  </si>
  <si>
    <t>Lucros Acumulados</t>
  </si>
  <si>
    <t>Lucros Acumulados|Passivo|PL</t>
  </si>
  <si>
    <t>Outras Reservas</t>
  </si>
  <si>
    <t>Outras Reservas|Passivo|PL</t>
  </si>
  <si>
    <t>PATRIMÔNIO LÍQUIDO</t>
  </si>
  <si>
    <t>PATRIMÔNIO LÍQUIDO|Passivo|PL</t>
  </si>
  <si>
    <t>RECURSOS PROPRIOS - Reportado com IFRS16</t>
  </si>
  <si>
    <t>RECURSOS PROPRIOS - Reportado com IFRS16|Passivo|PL</t>
  </si>
  <si>
    <t>TOTAL PASSIVO + RECURSOS PRÓPRIOS</t>
  </si>
  <si>
    <t>Diferença</t>
  </si>
  <si>
    <t>Hierarquia</t>
  </si>
  <si>
    <t>Totalizador</t>
  </si>
  <si>
    <t>Alocação da Hierarquia</t>
  </si>
  <si>
    <t>Página Referência</t>
  </si>
  <si>
    <t>Ano 1</t>
  </si>
  <si>
    <t>Ano 2</t>
  </si>
  <si>
    <t>Ano 3</t>
  </si>
  <si>
    <t>Grupo</t>
  </si>
  <si>
    <t>Sub Categoria</t>
  </si>
  <si>
    <t>Destino no Template</t>
  </si>
  <si>
    <t>Tipo de Mapeamento</t>
  </si>
  <si>
    <t>Chave</t>
  </si>
  <si>
    <t>Chave Destino</t>
  </si>
  <si>
    <t>Matricula do usuario</t>
  </si>
  <si>
    <t>Empresa</t>
  </si>
  <si>
    <t># periodos</t>
  </si>
  <si>
    <t>periodo 1</t>
  </si>
  <si>
    <t>periodo 2</t>
  </si>
  <si>
    <t>periodo 3</t>
  </si>
  <si>
    <t># de alterações na rastreabilidade</t>
  </si>
  <si>
    <t># de alterações na shadow</t>
  </si>
  <si>
    <t>quantidade de contas na rastreabilidade</t>
  </si>
  <si>
    <t>Quantidade de alocações Memoria anterior</t>
  </si>
  <si>
    <t>Quantidade de alocações Memoria Dicionario</t>
  </si>
  <si>
    <t>quatidade de alocações Julgamentais</t>
  </si>
  <si>
    <t>Versão do GPT</t>
  </si>
  <si>
    <t>CNPJ</t>
  </si>
  <si>
    <t>Segmento ?</t>
  </si>
  <si>
    <t>Modelo do arquivo</t>
  </si>
  <si>
    <t>Formato Auditado</t>
  </si>
  <si>
    <t>Unidade de medida</t>
  </si>
  <si>
    <t>Moeda</t>
  </si>
  <si>
    <t>Modificação base de Valores</t>
  </si>
  <si>
    <t>Páginas do input</t>
  </si>
  <si>
    <t>Páginas de referência (BP+DRE)</t>
  </si>
  <si>
    <t>Nível de complexidade de alocação e planilhamento</t>
  </si>
  <si>
    <t>Tempo de Início (GPT)</t>
  </si>
  <si>
    <t>Tempo Final (GPT)</t>
  </si>
  <si>
    <t>Data/hora de geração</t>
  </si>
  <si>
    <t>Arquivo gerado</t>
  </si>
  <si>
    <t>Anos identificados</t>
  </si>
  <si>
    <t>quantidade de contas alocadas na rastreabilidade</t>
  </si>
  <si>
    <t>Fornecedores Totais</t>
  </si>
  <si>
    <t>quantidade de contas alocadas na rastreabilidade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</si>
</sst>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General_)"/>
    <numFmt numFmtId="165" formatCode="dd/mm/yy"/>
    <numFmt numFmtId="166" formatCode="#,##0;\(#,##0\);&quot;&quot;"/>
    <numFmt numFmtId="167" formatCode="#,##0.00;[Red]\(#,##0.00\)"/>
    <numFmt numFmtId="168" formatCode="#,##0;&quot;(&quot;#,##0&quot;)&quot;;&quot;&quot;"/>
    <numFmt numFmtId="169" formatCode="#,###_);[Red]\(#,###\)"/>
    <numFmt numFmtId="170" formatCode="_-* #,##0.00\ _P_t_s_-;\-* #,##0.00\ _P_t_s_-;_-* \-??\ _P_t_s_-;_-@_-"/>
  </numFmts>
  <fonts count="4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  <charset val="1"/>
    </font>
    <font>
      <b/>
      <sz val="10"/>
      <name val="Segoe UI"/>
      <family val="2"/>
      <charset val="1"/>
    </font>
    <font>
      <b/>
      <sz val="11"/>
      <color theme="0"/>
      <name val="Segoe UI"/>
      <family val="2"/>
      <charset val="1"/>
    </font>
    <font>
      <sz val="11"/>
      <name val="Segoe UI"/>
      <family val="2"/>
      <charset val="1"/>
    </font>
    <font>
      <b/>
      <sz val="11"/>
      <color theme="0"/>
      <name val="Calibri"/>
      <family val="2"/>
      <charset val="1"/>
    </font>
    <font>
      <sz val="8"/>
      <name val="Segoe UI"/>
      <family val="2"/>
      <charset val="1"/>
    </font>
    <font>
      <sz val="8"/>
      <color theme="0"/>
      <name val="Segoe UI"/>
      <family val="2"/>
      <charset val="1"/>
    </font>
    <font>
      <sz val="12"/>
      <color theme="0"/>
      <name val="Segoe UI"/>
      <family val="2"/>
      <charset val="1"/>
    </font>
    <font>
      <sz val="10"/>
      <color rgb="FF0070C0"/>
      <name val="Segoe UI"/>
      <family val="2"/>
      <charset val="1"/>
    </font>
    <font>
      <b/>
      <i/>
      <sz val="9"/>
      <color theme="1" tint="0.3498947111423078"/>
      <name val="Segoe UI"/>
      <family val="2"/>
      <charset val="1"/>
    </font>
    <font>
      <sz val="11"/>
      <color theme="1"/>
      <name val="Calibri"/>
      <family val="2"/>
      <charset val="1"/>
    </font>
    <font>
      <b/>
      <sz val="11"/>
      <color theme="0"/>
      <name val="Arial"/>
      <family val="2"/>
    </font>
    <font>
      <sz val="12"/>
      <name val="Segoe UI"/>
      <family val="2"/>
    </font>
    <font>
      <sz val="11"/>
      <color theme="1"/>
      <name val="Arial"/>
      <family val="2"/>
    </font>
    <font>
      <sz val="12"/>
      <color theme="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theme="0"/>
      <name val="Arial"/>
      <family val="2"/>
    </font>
    <font>
      <b/>
      <sz val="16"/>
      <color theme="0"/>
      <name val="Arial"/>
      <family val="2"/>
    </font>
    <font>
      <b/>
      <sz val="12"/>
      <name val="Segoe UI"/>
      <family val="2"/>
      <charset val="1"/>
    </font>
    <font>
      <sz val="12"/>
      <name val="Segoe UI"/>
      <family val="2"/>
      <charset val="1"/>
    </font>
    <font>
      <i/>
      <sz val="12"/>
      <name val="Segoe UI"/>
      <family val="2"/>
      <charset val="1"/>
    </font>
    <font>
      <sz val="12"/>
      <color theme="1"/>
      <name val="Calibri"/>
      <family val="2"/>
      <charset val="1"/>
    </font>
    <font>
      <b/>
      <sz val="12"/>
      <name val="Segoe UI"/>
      <family val="2"/>
    </font>
    <font>
      <b/>
      <i/>
      <sz val="12"/>
      <color theme="1" tint="0.3498947111423078"/>
      <name val="Segoe UI"/>
      <family val="2"/>
      <charset val="1"/>
    </font>
    <font>
      <b/>
      <sz val="16"/>
      <name val="Arial Black"/>
      <family val="2"/>
    </font>
    <font>
      <b/>
      <i/>
      <sz val="16"/>
      <color theme="1" tint="0.3498947111423078"/>
      <name val="Arial Black"/>
      <family val="2"/>
    </font>
    <font>
      <sz val="11"/>
      <color theme="1"/>
      <name val="Calibri"/>
      <family val="2"/>
    </font>
    <font>
      <sz val="10"/>
      <color rgb="FFFF0000"/>
      <name val="Segoe UI"/>
      <family val="2"/>
    </font>
    <font>
      <sz val="12"/>
      <color rgb="FFFF0000"/>
      <name val="Segoe UI"/>
      <family val="2"/>
      <charset val="1"/>
    </font>
    <font>
      <sz val="13"/>
      <color rgb="FF0070C0"/>
      <name val="Segoe UI"/>
      <family val="2"/>
      <charset val="1"/>
    </font>
    <font>
      <b/>
      <sz val="13"/>
      <name val="Segoe UI"/>
      <family val="2"/>
      <charset val="1"/>
    </font>
    <font>
      <sz val="13"/>
      <name val="Segoe UI"/>
      <family val="2"/>
      <charset val="1"/>
    </font>
    <font>
      <sz val="10"/>
      <color theme="1"/>
      <name val="Calibri"/>
      <family val="2"/>
      <charset val="1"/>
    </font>
    <font>
      <b/>
      <sz val="10"/>
      <color theme="0"/>
      <name val="Arial"/>
      <family val="2"/>
    </font>
    <font>
      <sz val="10"/>
      <name val="Segoe UI"/>
      <family val="2"/>
      <charset val="1"/>
    </font>
    <font>
      <b/>
      <i/>
      <sz val="13"/>
      <color theme="1" tint="0.3498947111423078"/>
      <name val="Segoe UI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Segoe UI"/>
      <family val="2"/>
      <charset val="1"/>
    </font>
  </fonts>
  <fills count="30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theme="0" tint="-0.14999847407452621"/>
        <bgColor rgb="FFDDD9C4"/>
      </patternFill>
    </fill>
    <fill>
      <patternFill patternType="solid">
        <fgColor theme="0"/>
        <bgColor rgb="FFF2F2F2"/>
      </patternFill>
    </fill>
    <fill>
      <patternFill patternType="solid">
        <fgColor rgb="FFDDD9C4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rgb="FFFDE9D9"/>
      </patternFill>
    </fill>
    <fill>
      <patternFill patternType="solid">
        <fgColor rgb="FFFFE699"/>
        <bgColor rgb="FFFDE9D9"/>
      </patternFill>
    </fill>
    <fill>
      <patternFill patternType="solid">
        <fgColor theme="3" tint="0.74987029633472702"/>
        <bgColor rgb="FFD9D9D9"/>
      </patternFill>
    </fill>
    <fill>
      <patternFill patternType="solid">
        <fgColor theme="0" tint="-0.249977111117893"/>
        <bgColor rgb="FFCCD4DE"/>
      </patternFill>
    </fill>
    <fill>
      <patternFill patternType="solid">
        <fgColor theme="9" tint="-0.249977111117893"/>
        <bgColor rgb="FF993300"/>
      </patternFill>
    </fill>
    <fill>
      <patternFill patternType="solid">
        <fgColor theme="7" tint="-0.249977111117893"/>
        <bgColor rgb="FF9933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336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DDDD"/>
        <bgColor rgb="FFF2F2F2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0.34998626667073579"/>
        <bgColor rgb="FFF2F2F2"/>
      </patternFill>
    </fill>
    <fill>
      <patternFill patternType="solid">
        <fgColor rgb="FFDDFFDE"/>
        <bgColor rgb="FFF2F2F2"/>
      </patternFill>
    </fill>
    <fill>
      <patternFill patternType="solid">
        <fgColor rgb="FFDEE8FE"/>
        <bgColor rgb="FFF2F2F2"/>
      </patternFill>
    </fill>
    <fill>
      <patternFill patternType="solid">
        <fgColor theme="8" tint="-0.249977111117893"/>
        <bgColor rgb="FF9933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7" tint="0.79998168889431442"/>
        <bgColor rgb="FFF2F2F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8"/>
      </right>
      <top/>
      <bottom style="dotted">
        <color indexed="64"/>
      </bottom>
      <diagonal/>
    </border>
    <border>
      <left style="thin">
        <color indexed="64"/>
      </left>
      <right style="thin">
        <color indexed="8"/>
      </right>
      <top/>
      <bottom/>
      <diagonal/>
    </border>
  </borders>
  <cellStyleXfs count="9">
    <xf numFmtId="0" fontId="0" fillId="0" borderId="0"/>
    <xf numFmtId="43" fontId="2" fillId="0" borderId="0"/>
    <xf numFmtId="0" fontId="13" fillId="0" borderId="0"/>
    <xf numFmtId="0" fontId="13" fillId="0" borderId="0"/>
    <xf numFmtId="164" fontId="3" fillId="0" borderId="0"/>
    <xf numFmtId="0" fontId="3" fillId="0" borderId="0"/>
    <xf numFmtId="0" fontId="3" fillId="0" borderId="0"/>
    <xf numFmtId="170" fontId="3" fillId="0" borderId="0"/>
    <xf numFmtId="0" fontId="1" fillId="0" borderId="0"/>
  </cellStyleXfs>
  <cellXfs count="188">
    <xf numFmtId="0" fontId="0" fillId="0" borderId="0" xfId="0"/>
    <xf numFmtId="164" fontId="5" fillId="2" borderId="7" xfId="4" applyFont="1" applyFill="1" applyBorder="1" applyAlignment="1">
      <alignment horizontal="left" vertical="center"/>
    </xf>
    <xf numFmtId="3" fontId="0" fillId="0" borderId="0" xfId="0" applyNumberFormat="1"/>
    <xf numFmtId="0" fontId="13" fillId="0" borderId="0" xfId="2"/>
    <xf numFmtId="0" fontId="6" fillId="4" borderId="0" xfId="4" applyNumberFormat="1" applyFont="1" applyFill="1" applyAlignment="1" applyProtection="1">
      <alignment horizontal="center" vertical="center"/>
      <protection locked="0"/>
    </xf>
    <xf numFmtId="165" fontId="8" fillId="4" borderId="0" xfId="4" applyNumberFormat="1" applyFont="1" applyFill="1" applyAlignment="1" applyProtection="1">
      <alignment horizontal="center" vertical="center"/>
      <protection locked="0"/>
    </xf>
    <xf numFmtId="165" fontId="9" fillId="4" borderId="0" xfId="4" applyNumberFormat="1" applyFont="1" applyFill="1" applyAlignment="1" applyProtection="1">
      <alignment horizontal="center" vertical="center"/>
      <protection locked="0"/>
    </xf>
    <xf numFmtId="0" fontId="10" fillId="0" borderId="0" xfId="6" applyFont="1" applyAlignment="1" applyProtection="1">
      <alignment vertical="center"/>
      <protection locked="0"/>
    </xf>
    <xf numFmtId="165" fontId="4" fillId="3" borderId="1" xfId="4" applyNumberFormat="1" applyFont="1" applyFill="1" applyBorder="1" applyAlignment="1">
      <alignment horizontal="center" vertical="center"/>
    </xf>
    <xf numFmtId="165" fontId="4" fillId="3" borderId="9" xfId="4" applyNumberFormat="1" applyFont="1" applyFill="1" applyBorder="1" applyAlignment="1">
      <alignment horizontal="center" vertical="center"/>
    </xf>
    <xf numFmtId="165" fontId="4" fillId="3" borderId="2" xfId="4" applyNumberFormat="1" applyFont="1" applyFill="1" applyBorder="1" applyAlignment="1">
      <alignment horizontal="center" vertical="center"/>
    </xf>
    <xf numFmtId="166" fontId="11" fillId="0" borderId="2" xfId="7" applyNumberFormat="1" applyFont="1" applyBorder="1" applyAlignment="1">
      <alignment horizontal="center" vertical="center"/>
    </xf>
    <xf numFmtId="166" fontId="11" fillId="0" borderId="3" xfId="7" applyNumberFormat="1" applyFont="1" applyBorder="1" applyAlignment="1">
      <alignment horizontal="center" vertical="center"/>
    </xf>
    <xf numFmtId="166" fontId="4" fillId="3" borderId="4" xfId="4" applyNumberFormat="1" applyFont="1" applyFill="1" applyBorder="1" applyAlignment="1">
      <alignment horizontal="center" vertical="center"/>
    </xf>
    <xf numFmtId="166" fontId="4" fillId="3" borderId="5" xfId="7" applyNumberFormat="1" applyFont="1" applyFill="1" applyBorder="1" applyAlignment="1">
      <alignment horizontal="center" vertical="center"/>
    </xf>
    <xf numFmtId="166" fontId="11" fillId="0" borderId="4" xfId="4" applyNumberFormat="1" applyFont="1" applyBorder="1" applyAlignment="1">
      <alignment horizontal="center" vertical="center"/>
    </xf>
    <xf numFmtId="166" fontId="11" fillId="8" borderId="4" xfId="4" applyNumberFormat="1" applyFont="1" applyFill="1" applyBorder="1" applyAlignment="1">
      <alignment horizontal="center" vertical="center"/>
    </xf>
    <xf numFmtId="166" fontId="11" fillId="0" borderId="3" xfId="5" applyNumberFormat="1" applyFont="1" applyBorder="1" applyAlignment="1">
      <alignment horizontal="center" vertical="center"/>
    </xf>
    <xf numFmtId="166" fontId="4" fillId="10" borderId="11" xfId="4" applyNumberFormat="1" applyFont="1" applyFill="1" applyBorder="1" applyAlignment="1">
      <alignment horizontal="center" vertical="center"/>
    </xf>
    <xf numFmtId="166" fontId="4" fillId="10" borderId="3" xfId="4" applyNumberFormat="1" applyFont="1" applyFill="1" applyBorder="1" applyAlignment="1">
      <alignment horizontal="center" vertical="center"/>
    </xf>
    <xf numFmtId="166" fontId="11" fillId="0" borderId="1" xfId="7" applyNumberFormat="1" applyFont="1" applyBorder="1" applyAlignment="1">
      <alignment horizontal="center" vertical="center"/>
    </xf>
    <xf numFmtId="166" fontId="11" fillId="0" borderId="1" xfId="7" applyNumberFormat="1" applyFont="1" applyBorder="1" applyAlignment="1" applyProtection="1">
      <alignment horizontal="center" vertical="center"/>
      <protection locked="0"/>
    </xf>
    <xf numFmtId="166" fontId="4" fillId="10" borderId="5" xfId="4" applyNumberFormat="1" applyFont="1" applyFill="1" applyBorder="1" applyAlignment="1">
      <alignment horizontal="center" vertical="center"/>
    </xf>
    <xf numFmtId="167" fontId="0" fillId="0" borderId="0" xfId="0" applyNumberFormat="1" applyAlignment="1">
      <alignment vertical="top" wrapText="1"/>
    </xf>
    <xf numFmtId="43" fontId="2" fillId="0" borderId="0" xfId="1" applyAlignment="1" applyProtection="1">
      <alignment horizontal="center" vertical="center"/>
      <protection locked="0"/>
    </xf>
    <xf numFmtId="0" fontId="14" fillId="13" borderId="0" xfId="0" applyFont="1" applyFill="1" applyAlignment="1">
      <alignment horizontal="center" vertical="center"/>
    </xf>
    <xf numFmtId="0" fontId="14" fillId="14" borderId="13" xfId="0" applyFont="1" applyFill="1" applyBorder="1" applyAlignment="1">
      <alignment horizontal="center" vertical="center"/>
    </xf>
    <xf numFmtId="168" fontId="15" fillId="0" borderId="0" xfId="6" applyNumberFormat="1" applyFont="1" applyAlignment="1" applyProtection="1">
      <alignment horizontal="center" vertical="center"/>
      <protection locked="0"/>
    </xf>
    <xf numFmtId="166" fontId="0" fillId="17" borderId="0" xfId="0" applyNumberFormat="1" applyFill="1"/>
    <xf numFmtId="0" fontId="0" fillId="0" borderId="0" xfId="0" applyAlignment="1">
      <alignment wrapText="1"/>
    </xf>
    <xf numFmtId="0" fontId="7" fillId="12" borderId="0" xfId="2" applyFont="1" applyFill="1" applyAlignment="1">
      <alignment horizontal="center" wrapText="1"/>
    </xf>
    <xf numFmtId="0" fontId="7" fillId="11" borderId="0" xfId="2" applyFont="1" applyFill="1" applyAlignment="1">
      <alignment horizontal="center" wrapText="1"/>
    </xf>
    <xf numFmtId="165" fontId="4" fillId="3" borderId="8" xfId="4" applyNumberFormat="1" applyFont="1" applyFill="1" applyBorder="1" applyAlignment="1">
      <alignment horizontal="center" vertical="center" wrapText="1"/>
    </xf>
    <xf numFmtId="165" fontId="4" fillId="3" borderId="5" xfId="4" applyNumberFormat="1" applyFont="1" applyFill="1" applyBorder="1" applyAlignment="1">
      <alignment horizontal="center" vertical="center" wrapText="1"/>
    </xf>
    <xf numFmtId="0" fontId="6" fillId="6" borderId="7" xfId="4" applyNumberFormat="1" applyFont="1" applyFill="1" applyBorder="1" applyAlignment="1" applyProtection="1">
      <alignment horizontal="center" vertical="center" wrapText="1"/>
      <protection locked="0"/>
    </xf>
    <xf numFmtId="0" fontId="6" fillId="4" borderId="5" xfId="4" applyNumberFormat="1" applyFont="1" applyFill="1" applyBorder="1" applyAlignment="1" applyProtection="1">
      <alignment horizontal="center" vertical="center" wrapText="1"/>
      <protection locked="0"/>
    </xf>
    <xf numFmtId="0" fontId="6" fillId="6" borderId="8" xfId="4" applyNumberFormat="1" applyFont="1" applyFill="1" applyBorder="1" applyAlignment="1" applyProtection="1">
      <alignment horizontal="center" vertical="center" wrapText="1"/>
      <protection locked="0"/>
    </xf>
    <xf numFmtId="166" fontId="4" fillId="3" borderId="4" xfId="4" applyNumberFormat="1" applyFont="1" applyFill="1" applyBorder="1" applyAlignment="1">
      <alignment horizontal="center" vertical="center" wrapText="1"/>
    </xf>
    <xf numFmtId="166" fontId="4" fillId="3" borderId="3" xfId="4" applyNumberFormat="1" applyFont="1" applyFill="1" applyBorder="1" applyAlignment="1">
      <alignment horizontal="center" vertical="center" wrapText="1"/>
    </xf>
    <xf numFmtId="166" fontId="4" fillId="3" borderId="5" xfId="4" applyNumberFormat="1" applyFont="1" applyFill="1" applyBorder="1" applyAlignment="1">
      <alignment horizontal="center" vertical="center" wrapText="1"/>
    </xf>
    <xf numFmtId="0" fontId="6" fillId="6" borderId="3" xfId="4" applyNumberFormat="1" applyFont="1" applyFill="1" applyBorder="1" applyAlignment="1" applyProtection="1">
      <alignment horizontal="center" vertical="center" wrapText="1"/>
      <protection locked="0"/>
    </xf>
    <xf numFmtId="166" fontId="4" fillId="3" borderId="10" xfId="4" applyNumberFormat="1" applyFont="1" applyFill="1" applyBorder="1" applyAlignment="1">
      <alignment horizontal="center" vertical="center" wrapText="1"/>
    </xf>
    <xf numFmtId="166" fontId="4" fillId="3" borderId="6" xfId="4" applyNumberFormat="1" applyFont="1" applyFill="1" applyBorder="1" applyAlignment="1">
      <alignment horizontal="center" vertical="center" wrapText="1"/>
    </xf>
    <xf numFmtId="166" fontId="4" fillId="10" borderId="9" xfId="4" applyNumberFormat="1" applyFont="1" applyFill="1" applyBorder="1" applyAlignment="1">
      <alignment horizontal="center" vertical="center" wrapText="1"/>
    </xf>
    <xf numFmtId="166" fontId="4" fillId="10" borderId="5" xfId="4" applyNumberFormat="1" applyFont="1" applyFill="1" applyBorder="1" applyAlignment="1">
      <alignment horizontal="center" vertical="center" wrapText="1"/>
    </xf>
    <xf numFmtId="0" fontId="6" fillId="4" borderId="0" xfId="4" applyNumberFormat="1" applyFont="1" applyFill="1" applyAlignment="1" applyProtection="1">
      <alignment horizontal="center" vertical="center" wrapText="1"/>
      <protection locked="0"/>
    </xf>
    <xf numFmtId="0" fontId="6" fillId="6" borderId="9" xfId="4" applyNumberFormat="1" applyFont="1" applyFill="1" applyBorder="1" applyAlignment="1" applyProtection="1">
      <alignment horizontal="center" vertical="center" wrapText="1"/>
      <protection locked="0"/>
    </xf>
    <xf numFmtId="0" fontId="6" fillId="6" borderId="1" xfId="4" applyNumberFormat="1" applyFont="1" applyFill="1" applyBorder="1" applyAlignment="1" applyProtection="1">
      <alignment horizontal="center" vertical="center" wrapText="1"/>
      <protection locked="0"/>
    </xf>
    <xf numFmtId="0" fontId="6" fillId="6" borderId="2" xfId="4" applyNumberFormat="1" applyFont="1" applyFill="1" applyBorder="1" applyAlignment="1" applyProtection="1">
      <alignment horizontal="center" vertical="center" wrapText="1"/>
      <protection locked="0"/>
    </xf>
    <xf numFmtId="165" fontId="4" fillId="3" borderId="1" xfId="4" applyNumberFormat="1" applyFont="1" applyFill="1" applyBorder="1" applyAlignment="1">
      <alignment horizontal="center" vertical="center" wrapText="1"/>
    </xf>
    <xf numFmtId="165" fontId="4" fillId="3" borderId="9" xfId="4" applyNumberFormat="1" applyFont="1" applyFill="1" applyBorder="1" applyAlignment="1">
      <alignment horizontal="center" vertical="center" wrapText="1"/>
    </xf>
    <xf numFmtId="166" fontId="4" fillId="3" borderId="5" xfId="7" applyNumberFormat="1" applyFont="1" applyFill="1" applyBorder="1" applyAlignment="1">
      <alignment horizontal="center" vertical="center" wrapText="1"/>
    </xf>
    <xf numFmtId="3" fontId="0" fillId="0" borderId="0" xfId="0" applyNumberFormat="1" applyAlignment="1">
      <alignment wrapText="1"/>
    </xf>
    <xf numFmtId="0" fontId="13" fillId="0" borderId="0" xfId="2" applyAlignment="1">
      <alignment wrapText="1"/>
    </xf>
    <xf numFmtId="0" fontId="6" fillId="18" borderId="5" xfId="4" applyNumberFormat="1" applyFont="1" applyFill="1" applyBorder="1" applyAlignment="1" applyProtection="1">
      <alignment horizontal="center" vertical="center" wrapText="1"/>
      <protection locked="0"/>
    </xf>
    <xf numFmtId="0" fontId="6" fillId="19" borderId="5" xfId="4" applyNumberFormat="1" applyFont="1" applyFill="1" applyBorder="1" applyAlignment="1" applyProtection="1">
      <alignment horizontal="center" vertical="center" wrapText="1"/>
      <protection locked="0"/>
    </xf>
    <xf numFmtId="0" fontId="6" fillId="20" borderId="5" xfId="4" applyNumberFormat="1" applyFont="1" applyFill="1" applyBorder="1" applyAlignment="1" applyProtection="1">
      <alignment horizontal="center" vertical="center" wrapText="1"/>
      <protection locked="0"/>
    </xf>
    <xf numFmtId="0" fontId="6" fillId="21" borderId="5" xfId="4" applyNumberFormat="1" applyFont="1" applyFill="1" applyBorder="1" applyAlignment="1" applyProtection="1">
      <alignment horizontal="center" vertical="center" wrapText="1"/>
      <protection locked="0"/>
    </xf>
    <xf numFmtId="0" fontId="6" fillId="22" borderId="5" xfId="4" applyNumberFormat="1" applyFont="1" applyFill="1" applyBorder="1" applyAlignment="1" applyProtection="1">
      <alignment horizontal="center" vertical="center" wrapText="1"/>
      <protection locked="0"/>
    </xf>
    <xf numFmtId="0" fontId="6" fillId="6" borderId="11" xfId="4" applyNumberFormat="1" applyFont="1" applyFill="1" applyBorder="1" applyAlignment="1" applyProtection="1">
      <alignment horizontal="center" vertical="center" wrapText="1"/>
      <protection locked="0"/>
    </xf>
    <xf numFmtId="0" fontId="6" fillId="6" borderId="17" xfId="4" applyNumberFormat="1" applyFont="1" applyFill="1" applyBorder="1" applyAlignment="1" applyProtection="1">
      <alignment horizontal="center" vertical="center" wrapText="1"/>
      <protection locked="0"/>
    </xf>
    <xf numFmtId="0" fontId="17" fillId="0" borderId="0" xfId="6" applyFont="1" applyAlignment="1" applyProtection="1">
      <alignment horizontal="center" vertical="center"/>
      <protection locked="0"/>
    </xf>
    <xf numFmtId="0" fontId="18" fillId="0" borderId="0" xfId="2" applyFont="1" applyAlignment="1">
      <alignment horizontal="center" vertical="center"/>
    </xf>
    <xf numFmtId="0" fontId="19" fillId="9" borderId="0" xfId="2" applyFont="1" applyFill="1" applyAlignment="1">
      <alignment horizontal="center" vertical="center"/>
    </xf>
    <xf numFmtId="0" fontId="19" fillId="9" borderId="0" xfId="2" applyFont="1" applyFill="1" applyAlignment="1">
      <alignment horizontal="center" vertical="center" wrapText="1"/>
    </xf>
    <xf numFmtId="0" fontId="20" fillId="4" borderId="0" xfId="4" applyNumberFormat="1" applyFont="1" applyFill="1" applyAlignment="1" applyProtection="1">
      <alignment horizontal="center" vertical="center"/>
      <protection locked="0"/>
    </xf>
    <xf numFmtId="0" fontId="21" fillId="2" borderId="0" xfId="2" applyFont="1" applyFill="1" applyAlignment="1">
      <alignment horizontal="center" vertical="center"/>
    </xf>
    <xf numFmtId="0" fontId="21" fillId="2" borderId="0" xfId="2" applyFont="1" applyFill="1" applyAlignment="1">
      <alignment horizontal="center" vertical="center" wrapText="1"/>
    </xf>
    <xf numFmtId="0" fontId="21" fillId="12" borderId="0" xfId="2" applyFont="1" applyFill="1" applyAlignment="1">
      <alignment horizontal="center" vertical="center" wrapText="1"/>
    </xf>
    <xf numFmtId="0" fontId="21" fillId="11" borderId="0" xfId="2" applyFont="1" applyFill="1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165" fontId="20" fillId="4" borderId="0" xfId="4" applyNumberFormat="1" applyFont="1" applyFill="1" applyAlignment="1" applyProtection="1">
      <alignment horizontal="center" vertical="center"/>
      <protection locked="0"/>
    </xf>
    <xf numFmtId="165" fontId="17" fillId="4" borderId="0" xfId="4" applyNumberFormat="1" applyFont="1" applyFill="1" applyAlignment="1" applyProtection="1">
      <alignment horizontal="center" vertical="center"/>
      <protection locked="0"/>
    </xf>
    <xf numFmtId="0" fontId="18" fillId="0" borderId="0" xfId="0" applyFont="1" applyAlignment="1">
      <alignment horizontal="center" vertical="center"/>
    </xf>
    <xf numFmtId="0" fontId="16" fillId="0" borderId="0" xfId="0" applyFont="1"/>
    <xf numFmtId="0" fontId="22" fillId="13" borderId="0" xfId="0" applyFont="1" applyFill="1"/>
    <xf numFmtId="164" fontId="23" fillId="3" borderId="1" xfId="4" applyFont="1" applyFill="1" applyBorder="1" applyAlignment="1">
      <alignment horizontal="left" vertical="center"/>
    </xf>
    <xf numFmtId="164" fontId="24" fillId="4" borderId="2" xfId="4" applyFont="1" applyFill="1" applyBorder="1" applyAlignment="1" applyProtection="1">
      <alignment horizontal="left" vertical="center"/>
      <protection locked="0"/>
    </xf>
    <xf numFmtId="164" fontId="24" fillId="4" borderId="3" xfId="4" applyFont="1" applyFill="1" applyBorder="1" applyAlignment="1" applyProtection="1">
      <alignment horizontal="left" vertical="center"/>
      <protection locked="0"/>
    </xf>
    <xf numFmtId="164" fontId="23" fillId="3" borderId="4" xfId="4" applyFont="1" applyFill="1" applyBorder="1" applyAlignment="1">
      <alignment horizontal="left" vertical="center"/>
    </xf>
    <xf numFmtId="164" fontId="25" fillId="4" borderId="3" xfId="4" applyFont="1" applyFill="1" applyBorder="1" applyAlignment="1" applyProtection="1">
      <alignment horizontal="left" vertical="center"/>
      <protection locked="0"/>
    </xf>
    <xf numFmtId="164" fontId="24" fillId="5" borderId="4" xfId="4" applyFont="1" applyFill="1" applyBorder="1" applyAlignment="1">
      <alignment horizontal="left" vertical="center"/>
    </xf>
    <xf numFmtId="164" fontId="23" fillId="3" borderId="5" xfId="4" applyFont="1" applyFill="1" applyBorder="1" applyAlignment="1">
      <alignment horizontal="left" vertical="center"/>
    </xf>
    <xf numFmtId="164" fontId="24" fillId="0" borderId="3" xfId="4" applyFont="1" applyBorder="1" applyAlignment="1" applyProtection="1">
      <alignment horizontal="left" vertical="center"/>
      <protection locked="0"/>
    </xf>
    <xf numFmtId="164" fontId="23" fillId="10" borderId="5" xfId="4" applyFont="1" applyFill="1" applyBorder="1" applyAlignment="1">
      <alignment horizontal="left" vertical="center"/>
    </xf>
    <xf numFmtId="0" fontId="24" fillId="4" borderId="0" xfId="4" applyNumberFormat="1" applyFont="1" applyFill="1" applyAlignment="1" applyProtection="1">
      <alignment horizontal="center" vertical="center"/>
      <protection locked="0"/>
    </xf>
    <xf numFmtId="0" fontId="26" fillId="0" borderId="0" xfId="3" applyFont="1"/>
    <xf numFmtId="164" fontId="23" fillId="3" borderId="2" xfId="4" applyFont="1" applyFill="1" applyBorder="1" applyAlignment="1">
      <alignment horizontal="left" vertical="center"/>
    </xf>
    <xf numFmtId="169" fontId="24" fillId="4" borderId="3" xfId="4" applyNumberFormat="1" applyFont="1" applyFill="1" applyBorder="1" applyAlignment="1">
      <alignment vertical="center"/>
    </xf>
    <xf numFmtId="164" fontId="24" fillId="0" borderId="4" xfId="4" applyFont="1" applyBorder="1" applyAlignment="1">
      <alignment horizontal="left" vertical="center"/>
    </xf>
    <xf numFmtId="164" fontId="23" fillId="3" borderId="6" xfId="4" applyFont="1" applyFill="1" applyBorder="1" applyAlignment="1">
      <alignment horizontal="left" vertical="center"/>
    </xf>
    <xf numFmtId="164" fontId="24" fillId="4" borderId="4" xfId="4" applyFont="1" applyFill="1" applyBorder="1" applyAlignment="1">
      <alignment horizontal="left" vertical="center"/>
    </xf>
    <xf numFmtId="164" fontId="23" fillId="7" borderId="6" xfId="4" applyFont="1" applyFill="1" applyBorder="1" applyAlignment="1">
      <alignment horizontal="left" vertical="center"/>
    </xf>
    <xf numFmtId="164" fontId="27" fillId="15" borderId="14" xfId="4" applyFont="1" applyFill="1" applyBorder="1" applyAlignment="1">
      <alignment horizontal="left" vertical="center"/>
    </xf>
    <xf numFmtId="164" fontId="27" fillId="16" borderId="15" xfId="4" applyFont="1" applyFill="1" applyBorder="1" applyAlignment="1">
      <alignment horizontal="left" vertical="center"/>
    </xf>
    <xf numFmtId="164" fontId="27" fillId="15" borderId="16" xfId="4" applyFont="1" applyFill="1" applyBorder="1" applyAlignment="1">
      <alignment horizontal="left" vertical="center"/>
    </xf>
    <xf numFmtId="0" fontId="26" fillId="0" borderId="0" xfId="0" applyFont="1"/>
    <xf numFmtId="164" fontId="24" fillId="0" borderId="7" xfId="4" applyFont="1" applyBorder="1" applyAlignment="1" applyProtection="1">
      <alignment horizontal="left" vertical="center"/>
      <protection locked="0"/>
    </xf>
    <xf numFmtId="164" fontId="24" fillId="0" borderId="8" xfId="4" applyFont="1" applyBorder="1" applyAlignment="1" applyProtection="1">
      <alignment horizontal="left" vertical="center"/>
      <protection locked="0"/>
    </xf>
    <xf numFmtId="166" fontId="24" fillId="0" borderId="4" xfId="4" applyNumberFormat="1" applyFont="1" applyBorder="1" applyAlignment="1">
      <alignment horizontal="left" vertical="center"/>
    </xf>
    <xf numFmtId="164" fontId="24" fillId="0" borderId="9" xfId="4" applyFont="1" applyBorder="1" applyAlignment="1" applyProtection="1">
      <alignment horizontal="left" vertical="center"/>
      <protection locked="0"/>
    </xf>
    <xf numFmtId="164" fontId="24" fillId="8" borderId="4" xfId="4" applyFont="1" applyFill="1" applyBorder="1" applyAlignment="1">
      <alignment horizontal="left" vertical="center"/>
    </xf>
    <xf numFmtId="166" fontId="23" fillId="3" borderId="1" xfId="4" applyNumberFormat="1" applyFont="1" applyFill="1" applyBorder="1" applyAlignment="1">
      <alignment horizontal="left" vertical="center"/>
    </xf>
    <xf numFmtId="166" fontId="23" fillId="10" borderId="11" xfId="4" applyNumberFormat="1" applyFont="1" applyFill="1" applyBorder="1" applyAlignment="1">
      <alignment horizontal="left" vertical="center"/>
    </xf>
    <xf numFmtId="166" fontId="23" fillId="10" borderId="1" xfId="4" applyNumberFormat="1" applyFont="1" applyFill="1" applyBorder="1" applyAlignment="1">
      <alignment horizontal="left" vertical="center"/>
    </xf>
    <xf numFmtId="166" fontId="4" fillId="3" borderId="17" xfId="7" applyNumberFormat="1" applyFont="1" applyFill="1" applyBorder="1" applyAlignment="1">
      <alignment horizontal="center" vertical="center" wrapText="1"/>
    </xf>
    <xf numFmtId="0" fontId="21" fillId="11" borderId="12" xfId="2" applyFont="1" applyFill="1" applyBorder="1" applyAlignment="1">
      <alignment horizontal="center" vertical="center" wrapText="1"/>
    </xf>
    <xf numFmtId="165" fontId="4" fillId="3" borderId="3" xfId="4" applyNumberFormat="1" applyFont="1" applyFill="1" applyBorder="1" applyAlignment="1">
      <alignment horizontal="center" vertical="center" wrapText="1"/>
    </xf>
    <xf numFmtId="0" fontId="6" fillId="22" borderId="17" xfId="4" applyNumberFormat="1" applyFont="1" applyFill="1" applyBorder="1" applyAlignment="1" applyProtection="1">
      <alignment horizontal="center" vertical="center" wrapText="1"/>
      <protection locked="0"/>
    </xf>
    <xf numFmtId="166" fontId="4" fillId="19" borderId="3" xfId="4" applyNumberFormat="1" applyFont="1" applyFill="1" applyBorder="1" applyAlignment="1">
      <alignment horizontal="center" vertical="center"/>
    </xf>
    <xf numFmtId="166" fontId="4" fillId="3" borderId="18" xfId="4" applyNumberFormat="1" applyFont="1" applyFill="1" applyBorder="1" applyAlignment="1">
      <alignment horizontal="center" vertical="center" wrapText="1"/>
    </xf>
    <xf numFmtId="166" fontId="4" fillId="3" borderId="17" xfId="4" applyNumberFormat="1" applyFont="1" applyFill="1" applyBorder="1" applyAlignment="1">
      <alignment horizontal="center" vertical="center" wrapText="1"/>
    </xf>
    <xf numFmtId="166" fontId="4" fillId="10" borderId="17" xfId="4" applyNumberFormat="1" applyFont="1" applyFill="1" applyBorder="1" applyAlignment="1">
      <alignment horizontal="center" vertical="center" wrapText="1"/>
    </xf>
    <xf numFmtId="0" fontId="21" fillId="24" borderId="0" xfId="2" applyFont="1" applyFill="1" applyAlignment="1">
      <alignment horizontal="center" vertical="center" wrapText="1"/>
    </xf>
    <xf numFmtId="0" fontId="29" fillId="23" borderId="17" xfId="4" applyNumberFormat="1" applyFont="1" applyFill="1" applyBorder="1" applyAlignment="1" applyProtection="1">
      <alignment horizontal="center" vertical="center" wrapText="1"/>
      <protection locked="0"/>
    </xf>
    <xf numFmtId="166" fontId="29" fillId="3" borderId="17" xfId="7" applyNumberFormat="1" applyFont="1" applyFill="1" applyBorder="1" applyAlignment="1">
      <alignment horizontal="center" vertical="center" wrapText="1"/>
    </xf>
    <xf numFmtId="164" fontId="32" fillId="26" borderId="19" xfId="4" applyFont="1" applyFill="1" applyBorder="1" applyAlignment="1">
      <alignment horizontal="left" vertical="center"/>
    </xf>
    <xf numFmtId="164" fontId="32" fillId="27" borderId="20" xfId="4" applyFont="1" applyFill="1" applyBorder="1" applyAlignment="1" applyProtection="1">
      <alignment horizontal="left" vertical="center"/>
      <protection locked="0"/>
    </xf>
    <xf numFmtId="164" fontId="33" fillId="5" borderId="4" xfId="4" applyFont="1" applyFill="1" applyBorder="1" applyAlignment="1">
      <alignment horizontal="left" vertical="center"/>
    </xf>
    <xf numFmtId="166" fontId="34" fillId="0" borderId="2" xfId="4" applyNumberFormat="1" applyFont="1" applyBorder="1" applyAlignment="1">
      <alignment horizontal="center" vertical="center"/>
    </xf>
    <xf numFmtId="166" fontId="34" fillId="0" borderId="7" xfId="4" applyNumberFormat="1" applyFont="1" applyBorder="1" applyAlignment="1">
      <alignment horizontal="center" vertical="center"/>
    </xf>
    <xf numFmtId="166" fontId="34" fillId="0" borderId="3" xfId="4" applyNumberFormat="1" applyFont="1" applyBorder="1" applyAlignment="1">
      <alignment horizontal="center" vertical="center"/>
    </xf>
    <xf numFmtId="166" fontId="34" fillId="0" borderId="8" xfId="4" applyNumberFormat="1" applyFont="1" applyBorder="1" applyAlignment="1">
      <alignment horizontal="center" vertical="center"/>
    </xf>
    <xf numFmtId="166" fontId="35" fillId="3" borderId="4" xfId="4" applyNumberFormat="1" applyFont="1" applyFill="1" applyBorder="1" applyAlignment="1">
      <alignment horizontal="center" vertical="center"/>
    </xf>
    <xf numFmtId="166" fontId="35" fillId="3" borderId="10" xfId="4" applyNumberFormat="1" applyFont="1" applyFill="1" applyBorder="1" applyAlignment="1">
      <alignment horizontal="center" vertical="center"/>
    </xf>
    <xf numFmtId="166" fontId="34" fillId="5" borderId="4" xfId="4" applyNumberFormat="1" applyFont="1" applyFill="1" applyBorder="1" applyAlignment="1">
      <alignment horizontal="center" vertical="center"/>
    </xf>
    <xf numFmtId="166" fontId="34" fillId="5" borderId="10" xfId="4" applyNumberFormat="1" applyFont="1" applyFill="1" applyBorder="1" applyAlignment="1">
      <alignment horizontal="center" vertical="center"/>
    </xf>
    <xf numFmtId="166" fontId="34" fillId="4" borderId="1" xfId="4" applyNumberFormat="1" applyFont="1" applyFill="1" applyBorder="1" applyAlignment="1">
      <alignment horizontal="center" vertical="center"/>
    </xf>
    <xf numFmtId="166" fontId="34" fillId="4" borderId="9" xfId="4" applyNumberFormat="1" applyFont="1" applyFill="1" applyBorder="1" applyAlignment="1">
      <alignment horizontal="center" vertical="center"/>
    </xf>
    <xf numFmtId="166" fontId="35" fillId="3" borderId="5" xfId="4" applyNumberFormat="1" applyFont="1" applyFill="1" applyBorder="1" applyAlignment="1">
      <alignment horizontal="center" vertical="center"/>
    </xf>
    <xf numFmtId="166" fontId="35" fillId="3" borderId="6" xfId="4" applyNumberFormat="1" applyFont="1" applyFill="1" applyBorder="1" applyAlignment="1">
      <alignment horizontal="center" vertical="center"/>
    </xf>
    <xf numFmtId="166" fontId="34" fillId="4" borderId="3" xfId="4" applyNumberFormat="1" applyFont="1" applyFill="1" applyBorder="1" applyAlignment="1">
      <alignment horizontal="center" vertical="center"/>
    </xf>
    <xf numFmtId="166" fontId="34" fillId="4" borderId="8" xfId="4" applyNumberFormat="1" applyFont="1" applyFill="1" applyBorder="1" applyAlignment="1">
      <alignment horizontal="center" vertical="center"/>
    </xf>
    <xf numFmtId="166" fontId="35" fillId="10" borderId="5" xfId="4" applyNumberFormat="1" applyFont="1" applyFill="1" applyBorder="1" applyAlignment="1">
      <alignment horizontal="center" vertical="center"/>
    </xf>
    <xf numFmtId="166" fontId="35" fillId="10" borderId="6" xfId="4" applyNumberFormat="1" applyFont="1" applyFill="1" applyBorder="1" applyAlignment="1">
      <alignment horizontal="center" vertical="center"/>
    </xf>
    <xf numFmtId="165" fontId="35" fillId="3" borderId="1" xfId="4" applyNumberFormat="1" applyFont="1" applyFill="1" applyBorder="1" applyAlignment="1">
      <alignment horizontal="center" vertical="center"/>
    </xf>
    <xf numFmtId="165" fontId="35" fillId="3" borderId="9" xfId="4" applyNumberFormat="1" applyFont="1" applyFill="1" applyBorder="1" applyAlignment="1">
      <alignment horizontal="center" vertical="center"/>
    </xf>
    <xf numFmtId="166" fontId="34" fillId="4" borderId="2" xfId="4" applyNumberFormat="1" applyFont="1" applyFill="1" applyBorder="1" applyAlignment="1">
      <alignment horizontal="center" vertical="center"/>
    </xf>
    <xf numFmtId="166" fontId="34" fillId="4" borderId="7" xfId="4" applyNumberFormat="1" applyFont="1" applyFill="1" applyBorder="1" applyAlignment="1">
      <alignment horizontal="center" vertical="center"/>
    </xf>
    <xf numFmtId="166" fontId="34" fillId="4" borderId="12" xfId="4" applyNumberFormat="1" applyFont="1" applyFill="1" applyBorder="1" applyAlignment="1">
      <alignment horizontal="center" vertical="center"/>
    </xf>
    <xf numFmtId="166" fontId="34" fillId="4" borderId="0" xfId="4" applyNumberFormat="1" applyFont="1" applyFill="1" applyAlignment="1">
      <alignment horizontal="center" vertical="center"/>
    </xf>
    <xf numFmtId="166" fontId="34" fillId="0" borderId="4" xfId="4" applyNumberFormat="1" applyFont="1" applyBorder="1" applyAlignment="1">
      <alignment horizontal="center" vertical="center"/>
    </xf>
    <xf numFmtId="166" fontId="34" fillId="0" borderId="10" xfId="4" applyNumberFormat="1" applyFont="1" applyBorder="1" applyAlignment="1">
      <alignment horizontal="center" vertical="center"/>
    </xf>
    <xf numFmtId="0" fontId="36" fillId="4" borderId="0" xfId="4" applyNumberFormat="1" applyFont="1" applyFill="1" applyAlignment="1" applyProtection="1">
      <alignment horizontal="center" vertical="center"/>
      <protection locked="0"/>
    </xf>
    <xf numFmtId="166" fontId="35" fillId="7" borderId="5" xfId="4" applyNumberFormat="1" applyFont="1" applyFill="1" applyBorder="1" applyAlignment="1">
      <alignment horizontal="center" vertical="center"/>
    </xf>
    <xf numFmtId="166" fontId="35" fillId="7" borderId="6" xfId="4" applyNumberFormat="1" applyFont="1" applyFill="1" applyBorder="1" applyAlignment="1">
      <alignment horizontal="center" vertical="center"/>
    </xf>
    <xf numFmtId="166" fontId="34" fillId="4" borderId="3" xfId="5" applyNumberFormat="1" applyFont="1" applyFill="1" applyBorder="1" applyAlignment="1">
      <alignment horizontal="center" vertical="center"/>
    </xf>
    <xf numFmtId="166" fontId="34" fillId="4" borderId="8" xfId="5" applyNumberFormat="1" applyFont="1" applyFill="1" applyBorder="1" applyAlignment="1">
      <alignment horizontal="center" vertical="center"/>
    </xf>
    <xf numFmtId="0" fontId="37" fillId="0" borderId="0" xfId="0" applyFont="1" applyAlignment="1">
      <alignment wrapText="1"/>
    </xf>
    <xf numFmtId="0" fontId="38" fillId="2" borderId="0" xfId="2" applyFont="1" applyFill="1" applyAlignment="1">
      <alignment horizontal="center" vertical="center" wrapText="1"/>
    </xf>
    <xf numFmtId="0" fontId="39" fillId="4" borderId="0" xfId="4" applyNumberFormat="1" applyFont="1" applyFill="1" applyAlignment="1" applyProtection="1">
      <alignment horizontal="center" vertical="center" wrapText="1"/>
      <protection locked="0"/>
    </xf>
    <xf numFmtId="0" fontId="39" fillId="19" borderId="5" xfId="4" applyNumberFormat="1" applyFont="1" applyFill="1" applyBorder="1" applyAlignment="1" applyProtection="1">
      <alignment horizontal="center" vertical="center" wrapText="1"/>
      <protection locked="0"/>
    </xf>
    <xf numFmtId="0" fontId="39" fillId="4" borderId="0" xfId="4" applyNumberFormat="1" applyFont="1" applyFill="1" applyAlignment="1" applyProtection="1">
      <alignment horizontal="center" vertical="center"/>
      <protection locked="0"/>
    </xf>
    <xf numFmtId="0" fontId="39" fillId="20" borderId="5" xfId="4" applyNumberFormat="1" applyFont="1" applyFill="1" applyBorder="1" applyAlignment="1" applyProtection="1">
      <alignment horizontal="center" vertical="center" wrapText="1"/>
      <protection locked="0"/>
    </xf>
    <xf numFmtId="0" fontId="39" fillId="21" borderId="5" xfId="4" applyNumberFormat="1" applyFont="1" applyFill="1" applyBorder="1" applyAlignment="1" applyProtection="1">
      <alignment horizontal="center" vertical="center" wrapText="1"/>
      <protection locked="0"/>
    </xf>
    <xf numFmtId="0" fontId="39" fillId="29" borderId="5" xfId="4" applyNumberFormat="1" applyFont="1" applyFill="1" applyBorder="1" applyAlignment="1" applyProtection="1">
      <alignment horizontal="center" vertical="center" wrapText="1"/>
      <protection locked="0"/>
    </xf>
    <xf numFmtId="166" fontId="34" fillId="0" borderId="2" xfId="7" applyNumberFormat="1" applyFont="1" applyBorder="1" applyAlignment="1">
      <alignment horizontal="center" vertical="center"/>
    </xf>
    <xf numFmtId="166" fontId="34" fillId="0" borderId="17" xfId="7" applyNumberFormat="1" applyFont="1" applyBorder="1" applyAlignment="1">
      <alignment horizontal="center" vertical="center"/>
    </xf>
    <xf numFmtId="166" fontId="34" fillId="0" borderId="3" xfId="7" applyNumberFormat="1" applyFont="1" applyBorder="1" applyAlignment="1">
      <alignment horizontal="center" vertical="center"/>
    </xf>
    <xf numFmtId="166" fontId="35" fillId="3" borderId="5" xfId="7" applyNumberFormat="1" applyFont="1" applyFill="1" applyBorder="1" applyAlignment="1">
      <alignment horizontal="center" vertical="center"/>
    </xf>
    <xf numFmtId="166" fontId="34" fillId="8" borderId="4" xfId="4" applyNumberFormat="1" applyFont="1" applyFill="1" applyBorder="1" applyAlignment="1">
      <alignment horizontal="center" vertical="center"/>
    </xf>
    <xf numFmtId="166" fontId="35" fillId="4" borderId="3" xfId="4" applyNumberFormat="1" applyFont="1" applyFill="1" applyBorder="1" applyAlignment="1">
      <alignment horizontal="center" vertical="center"/>
    </xf>
    <xf numFmtId="166" fontId="34" fillId="0" borderId="3" xfId="5" applyNumberFormat="1" applyFont="1" applyBorder="1" applyAlignment="1">
      <alignment horizontal="center" vertical="center"/>
    </xf>
    <xf numFmtId="166" fontId="35" fillId="10" borderId="11" xfId="4" applyNumberFormat="1" applyFont="1" applyFill="1" applyBorder="1" applyAlignment="1">
      <alignment horizontal="center" vertical="center"/>
    </xf>
    <xf numFmtId="166" fontId="35" fillId="10" borderId="3" xfId="4" applyNumberFormat="1" applyFont="1" applyFill="1" applyBorder="1" applyAlignment="1">
      <alignment horizontal="center" vertical="center"/>
    </xf>
    <xf numFmtId="166" fontId="34" fillId="0" borderId="1" xfId="7" applyNumberFormat="1" applyFont="1" applyBorder="1" applyAlignment="1">
      <alignment horizontal="center" vertical="center"/>
    </xf>
    <xf numFmtId="166" fontId="34" fillId="0" borderId="1" xfId="7" applyNumberFormat="1" applyFont="1" applyBorder="1" applyAlignment="1" applyProtection="1">
      <alignment horizontal="center" vertical="center"/>
      <protection locked="0"/>
    </xf>
    <xf numFmtId="164" fontId="28" fillId="4" borderId="0" xfId="4" applyFont="1" applyFill="1" applyAlignment="1">
      <alignment horizontal="left" vertical="center"/>
    </xf>
    <xf numFmtId="166" fontId="12" fillId="4" borderId="0" xfId="4" applyNumberFormat="1" applyFont="1" applyFill="1" applyAlignment="1">
      <alignment horizontal="center" vertical="center"/>
    </xf>
    <xf numFmtId="166" fontId="12" fillId="4" borderId="0" xfId="4" applyNumberFormat="1" applyFont="1" applyFill="1" applyAlignment="1">
      <alignment horizontal="center" vertical="center" wrapText="1"/>
    </xf>
    <xf numFmtId="166" fontId="40" fillId="4" borderId="0" xfId="4" applyNumberFormat="1" applyFont="1" applyFill="1" applyAlignment="1">
      <alignment horizontal="center" vertical="center"/>
    </xf>
    <xf numFmtId="0" fontId="6" fillId="28" borderId="0" xfId="4" applyNumberFormat="1" applyFont="1" applyFill="1" applyAlignment="1" applyProtection="1">
      <alignment horizontal="center" vertical="center" wrapText="1"/>
      <protection locked="0"/>
    </xf>
    <xf numFmtId="166" fontId="30" fillId="4" borderId="0" xfId="4" applyNumberFormat="1" applyFont="1" applyFill="1" applyAlignment="1">
      <alignment horizontal="center" vertical="center" wrapText="1"/>
    </xf>
    <xf numFmtId="0" fontId="6" fillId="4" borderId="17" xfId="4" applyNumberFormat="1" applyFont="1" applyFill="1" applyBorder="1" applyAlignment="1" applyProtection="1">
      <alignment horizontal="center" vertical="center" wrapText="1"/>
      <protection locked="0"/>
    </xf>
    <xf numFmtId="0" fontId="6" fillId="18" borderId="17" xfId="4" applyNumberFormat="1" applyFont="1" applyFill="1" applyBorder="1" applyAlignment="1" applyProtection="1">
      <alignment horizontal="center" vertical="center" wrapText="1"/>
      <protection locked="0"/>
    </xf>
    <xf numFmtId="166" fontId="4" fillId="3" borderId="17" xfId="7" applyNumberFormat="1" applyFont="1" applyFill="1" applyBorder="1" applyAlignment="1">
      <alignment horizontal="center" vertical="center"/>
    </xf>
    <xf numFmtId="166" fontId="35" fillId="3" borderId="17" xfId="7" applyNumberFormat="1" applyFont="1" applyFill="1" applyBorder="1" applyAlignment="1">
      <alignment horizontal="center" vertical="center"/>
    </xf>
    <xf numFmtId="0" fontId="6" fillId="29" borderId="5" xfId="4" applyNumberFormat="1" applyFont="1" applyFill="1" applyBorder="1" applyAlignment="1" applyProtection="1">
      <alignment horizontal="center" vertical="center" wrapText="1"/>
      <protection locked="0"/>
    </xf>
    <xf numFmtId="0" fontId="6" fillId="29" borderId="17" xfId="4" applyNumberFormat="1" applyFont="1" applyFill="1" applyBorder="1" applyAlignment="1" applyProtection="1">
      <alignment horizontal="center" vertical="center" wrapText="1"/>
      <protection locked="0"/>
    </xf>
    <xf numFmtId="0" fontId="41" fillId="13" borderId="0" xfId="8" applyFont="1" applyFill="1"/>
    <xf numFmtId="0" fontId="41" fillId="13" borderId="0" xfId="8" applyFont="1" applyFill="1" applyAlignment="1">
      <alignment horizontal="center"/>
    </xf>
    <xf numFmtId="0" fontId="42" fillId="0" borderId="0" xfId="8" applyFont="1"/>
    <xf numFmtId="0" fontId="1" fillId="0" borderId="0" xfId="8"/>
    <xf numFmtId="0" fontId="1" fillId="0" borderId="0" xfId="8" quotePrefix="1"/>
    <xf numFmtId="164" fontId="33" fillId="4" borderId="3" xfId="4" applyFont="1" applyFill="1" applyBorder="1" applyAlignment="1" applyProtection="1">
      <alignment horizontal="left" vertical="center"/>
      <protection locked="0"/>
    </xf>
    <xf numFmtId="164" fontId="43" fillId="3" borderId="4" xfId="4" applyFont="1" applyFill="1" applyBorder="1" applyAlignment="1">
      <alignment horizontal="left" vertical="center"/>
    </xf>
    <xf numFmtId="0" fontId="31" fillId="25" borderId="0" xfId="0" applyFont="1" applyFill="1" applyAlignment="1">
      <alignment horizontal="left" vertical="center" wrapText="1"/>
    </xf>
    <xf numFmtId="0" fontId="0" fillId="0" borderId="0" xfId="0"/>
  </cellXfs>
  <cellStyles count="9">
    <cellStyle name="Comma" xfId="1" builtinId="3"/>
    <cellStyle name="Normal" xfId="0" builtinId="0"/>
    <cellStyle name="Normal 19" xfId="2" xr:uid="{00000000-0005-0000-0000-000002000000}"/>
    <cellStyle name="Normal 2" xfId="8" xr:uid="{00000000-0005-0000-0000-000008000000}"/>
    <cellStyle name="Normal 20 3" xfId="3" xr:uid="{00000000-0005-0000-0000-000003000000}"/>
    <cellStyle name="Normal 3" xfId="4" xr:uid="{00000000-0005-0000-0000-000004000000}"/>
    <cellStyle name="Normal 5" xfId="5" xr:uid="{00000000-0005-0000-0000-000005000000}"/>
    <cellStyle name="Normal_Spread Consolidado Simbal (Mar.2007) V.4" xfId="6" xr:uid="{00000000-0005-0000-0000-000006000000}"/>
    <cellStyle name="Separador de milhares 3" xfId="7" xr:uid="{00000000-0005-0000-0000-000007000000}"/>
  </cellStyles>
  <dxfs count="4">
    <dxf>
      <numFmt numFmtId="0" formatCode="General"/>
      <fill>
        <patternFill>
          <bgColor theme="0"/>
        </patternFill>
      </fill>
    </dxf>
    <dxf>
      <numFmt numFmtId="0" formatCode="General"/>
      <fill>
        <patternFill>
          <bgColor theme="0"/>
        </patternFill>
      </fill>
    </dxf>
    <dxf>
      <numFmt numFmtId="0" formatCode="General"/>
      <fill>
        <patternFill>
          <bgColor theme="0"/>
        </patternFill>
      </fill>
    </dxf>
    <dxf>
      <numFmt numFmtId="0" formatCode="General"/>
      <fill>
        <patternFill>
          <bgColor theme="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DE9D9"/>
      <rgbColor rgb="FFF2F2F2"/>
      <rgbColor rgb="FF660066"/>
      <rgbColor rgb="FFFF8080"/>
      <rgbColor rgb="FF0070C0"/>
      <rgbColor rgb="FFCCD4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E2E2E2"/>
      <rgbColor rgb="FFFFE699"/>
      <rgbColor rgb="FF99CCFF"/>
      <rgbColor rgb="FFFF99CC"/>
      <rgbColor rgb="FFCC99FF"/>
      <rgbColor rgb="FFDDD9C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T88"/>
  <sheetViews>
    <sheetView showGridLines="0" zoomScale="70" zoomScaleNormal="70" workbookViewId="0">
      <pane ySplit="3" topLeftCell="A47" activePane="bottomLeft" state="frozen"/>
      <selection activeCell="Q25" sqref="Q25"/>
      <selection pane="bottomLeft" activeCell="A52" sqref="A52"/>
    </sheetView>
  </sheetViews>
  <sheetFormatPr defaultColWidth="46" defaultRowHeight="14.25" customHeight="1" x14ac:dyDescent="0.25"/>
  <cols>
    <col min="1" max="1" width="52.42578125" bestFit="1" customWidth="1"/>
    <col min="2" max="2" width="15.7109375" customWidth="1"/>
    <col min="3" max="3" width="35.7109375" style="29" customWidth="1"/>
    <col min="4" max="4" width="2.7109375" customWidth="1"/>
    <col min="5" max="7" width="20.7109375" customWidth="1"/>
    <col min="8" max="8" width="50.7109375" style="29" hidden="1" customWidth="1"/>
    <col min="9" max="9" width="70.7109375" style="148" customWidth="1"/>
    <col min="10" max="17" width="20.7109375" style="29" customWidth="1"/>
    <col min="18" max="18" width="10.7109375" customWidth="1"/>
    <col min="19" max="19" width="56.7109375" bestFit="1" customWidth="1"/>
    <col min="20" max="20" width="15.7109375" customWidth="1"/>
    <col min="21" max="21" width="35.7109375" style="29" customWidth="1"/>
    <col min="22" max="22" width="2.7109375" customWidth="1"/>
    <col min="23" max="25" width="20.7109375" customWidth="1"/>
    <col min="26" max="26" width="50.7109375" style="29" hidden="1" customWidth="1"/>
    <col min="27" max="27" width="70.7109375" style="29" customWidth="1"/>
    <col min="28" max="28" width="13.140625" style="29" customWidth="1"/>
    <col min="29" max="36" width="20.7109375" style="29" customWidth="1"/>
    <col min="38" max="38" width="46" customWidth="1"/>
    <col min="39" max="40" width="42.28515625" hidden="1" customWidth="1"/>
  </cols>
  <sheetData>
    <row r="1" spans="1:46" ht="21" customHeight="1" x14ac:dyDescent="0.3">
      <c r="A1" s="75" t="s">
        <v>4</v>
      </c>
      <c r="B1" s="74"/>
      <c r="AN1" t="s">
        <v>5</v>
      </c>
    </row>
    <row r="2" spans="1:46" ht="15" customHeight="1" x14ac:dyDescent="0.25">
      <c r="E2" s="2"/>
      <c r="F2" s="2"/>
      <c r="G2" s="2"/>
      <c r="T2" s="2"/>
      <c r="U2" s="52"/>
      <c r="W2" s="2"/>
      <c r="X2" s="2"/>
      <c r="Y2" s="2"/>
    </row>
    <row r="3" spans="1:46" s="73" customFormat="1" ht="30" customHeight="1" x14ac:dyDescent="0.25">
      <c r="A3" s="62"/>
      <c r="B3" s="63" t="s">
        <v>6</v>
      </c>
      <c r="C3" s="63" t="s">
        <v>7</v>
      </c>
      <c r="D3" s="65"/>
      <c r="E3" s="66" t="s">
        <v>8</v>
      </c>
      <c r="F3" s="66" t="s">
        <v>9</v>
      </c>
      <c r="G3" s="66" t="s">
        <v>10</v>
      </c>
      <c r="H3" s="67" t="s">
        <v>11</v>
      </c>
      <c r="I3" s="149" t="s">
        <v>12</v>
      </c>
      <c r="J3" s="68" t="s">
        <v>2</v>
      </c>
      <c r="K3" s="68" t="s">
        <v>2</v>
      </c>
      <c r="L3" s="68" t="s">
        <v>2</v>
      </c>
      <c r="M3" s="68" t="s">
        <v>2</v>
      </c>
      <c r="N3" s="69" t="s">
        <v>1</v>
      </c>
      <c r="O3" s="69" t="s">
        <v>1</v>
      </c>
      <c r="P3" s="69" t="s">
        <v>1</v>
      </c>
      <c r="Q3" s="69" t="s">
        <v>1</v>
      </c>
      <c r="R3" s="65"/>
      <c r="S3" s="70"/>
      <c r="T3" s="63" t="s">
        <v>6</v>
      </c>
      <c r="U3" s="64" t="s">
        <v>7</v>
      </c>
      <c r="V3" s="65"/>
      <c r="W3" s="66" t="s">
        <v>13</v>
      </c>
      <c r="X3" s="66" t="s">
        <v>14</v>
      </c>
      <c r="Y3" s="66" t="s">
        <v>15</v>
      </c>
      <c r="Z3" s="67" t="s">
        <v>11</v>
      </c>
      <c r="AA3" s="67" t="s">
        <v>12</v>
      </c>
      <c r="AB3" s="113" t="s">
        <v>16</v>
      </c>
      <c r="AC3" s="68" t="s">
        <v>2</v>
      </c>
      <c r="AD3" s="68" t="s">
        <v>2</v>
      </c>
      <c r="AE3" s="68" t="s">
        <v>2</v>
      </c>
      <c r="AF3" s="68" t="s">
        <v>2</v>
      </c>
      <c r="AG3" s="69" t="s">
        <v>1</v>
      </c>
      <c r="AH3" s="69" t="s">
        <v>1</v>
      </c>
      <c r="AI3" s="69" t="s">
        <v>1</v>
      </c>
      <c r="AJ3" s="106" t="s">
        <v>1</v>
      </c>
      <c r="AL3" s="71"/>
      <c r="AM3" s="71"/>
      <c r="AN3" s="71"/>
      <c r="AO3" s="71"/>
      <c r="AP3" s="71"/>
      <c r="AQ3" s="72"/>
      <c r="AR3" s="61"/>
      <c r="AS3" s="61"/>
      <c r="AT3" s="61"/>
    </row>
    <row r="4" spans="1:46" ht="35.1" customHeight="1" x14ac:dyDescent="0.25">
      <c r="A4" s="76" t="s">
        <v>17</v>
      </c>
      <c r="B4" s="135">
        <f>B2</f>
        <v>0</v>
      </c>
      <c r="C4" s="33"/>
      <c r="D4" s="4"/>
      <c r="E4" s="8">
        <f>E2</f>
        <v>0</v>
      </c>
      <c r="F4" s="8">
        <f>F2</f>
        <v>0</v>
      </c>
      <c r="G4" s="9">
        <f>G2</f>
        <v>0</v>
      </c>
      <c r="H4" s="32"/>
      <c r="I4" s="33"/>
      <c r="J4" s="32"/>
      <c r="K4" s="32"/>
      <c r="L4" s="32"/>
      <c r="M4" s="32"/>
      <c r="N4" s="32"/>
      <c r="O4" s="32"/>
      <c r="P4" s="32"/>
      <c r="Q4" s="107"/>
      <c r="R4" s="4"/>
      <c r="S4" s="1" t="s">
        <v>18</v>
      </c>
      <c r="T4" s="10">
        <f>+B4</f>
        <v>0</v>
      </c>
      <c r="U4" s="107"/>
      <c r="V4" s="4"/>
      <c r="W4" s="10">
        <f>+E4</f>
        <v>0</v>
      </c>
      <c r="X4" s="10">
        <f>+F4</f>
        <v>0</v>
      </c>
      <c r="Y4" s="10">
        <f>+G4</f>
        <v>0</v>
      </c>
      <c r="Z4" s="50"/>
      <c r="AA4" s="33"/>
      <c r="AB4" s="32"/>
      <c r="AC4" s="32"/>
      <c r="AD4" s="32"/>
      <c r="AE4" s="32"/>
      <c r="AF4" s="32"/>
      <c r="AG4" s="32"/>
      <c r="AH4" s="32"/>
      <c r="AI4" s="32"/>
      <c r="AJ4" s="107"/>
      <c r="AL4" s="5"/>
      <c r="AO4" s="5"/>
      <c r="AP4" s="5"/>
      <c r="AQ4" s="6"/>
      <c r="AR4" s="7"/>
      <c r="AS4" s="7"/>
      <c r="AT4" s="7"/>
    </row>
    <row r="5" spans="1:46" ht="35.1" customHeight="1" x14ac:dyDescent="0.25">
      <c r="A5" s="77" t="s">
        <v>19</v>
      </c>
      <c r="B5" s="119">
        <f>IFERROR(SUMIFS(INDEX(rastreabilidade!$F:$H,0,MATCH($B$2,rastreabilidade!$F$1:$H$1,0)),rastreabilidade!$K:$K,$A5,rastreabilidade!$D:$D,"Sim"),0)</f>
        <v>0</v>
      </c>
      <c r="C5" s="35"/>
      <c r="D5" s="4"/>
      <c r="E5" s="119">
        <f>IFERROR(SUMIFS(INDEX(rastreabilidade!$F:$H,0,MATCH(E$3,rastreabilidade!$F$1:$H$1,0)),rastreabilidade!$N:$N,$AM5),0)
+IF($N5="",0,IFERROR(SUMIFS(INDEX(rastreabilidade!$F:$H,0,MATCH(E$3,rastreabilidade!$F$1:$H$1,0)),rastreabilidade!$M:$M,$N5),0))
+IF($O5="",0,IFERROR(SUMIFS(INDEX(rastreabilidade!$F:$H,0,MATCH(E$3,rastreabilidade!$F$1:$H$1,0)),rastreabilidade!$M:$M,$O5),0))
+IF($P5="",0,IFERROR(SUMIFS(INDEX(rastreabilidade!$F:$H,0,MATCH(E$3,rastreabilidade!$F$1:$H$1,0)),rastreabilidade!$M:$M,$P5),0))
+IF($Q5="",0,IFERROR(SUMIFS(INDEX(rastreabilidade!$F:$H,0,MATCH(E$3,rastreabilidade!$F$1:$H$1,0)),rastreabilidade!$M:$M,$Q5),0))
-IF($J5="",0,IFERROR(SUMIFS(INDEX(rastreabilidade!$F:$H,0,MATCH(E$3,rastreabilidade!$F$1:$H$1,0)),rastreabilidade!$M:$M,$J5,rastreabilidade!$N:$N,$AM5),0))
-IF($K5="",0,IFERROR(SUMIFS(INDEX(rastreabilidade!$F:$H,0,MATCH(E$3,rastreabilidade!$F$1:$H$1,0)),rastreabilidade!$M:$M,$K5,rastreabilidade!$N:$N,$AM5),0))
-IF($L5="",0,IFERROR(SUMIFS(INDEX(rastreabilidade!$F:$H,0,MATCH(E$3,rastreabilidade!$F$1:$H$1,0)),rastreabilidade!$M:$M,$L5,rastreabilidade!$N:$N,$AM5),0))
-IF($M5="",0,IFERROR(SUMIFS(INDEX(rastreabilidade!$F:$H,0,MATCH(E$3,rastreabilidade!$F$1:$H$1,0)),rastreabilidade!$M:$M,$M5,rastreabilidade!$N:$N,$AM5),0))</f>
        <v>0</v>
      </c>
      <c r="F5" s="119">
        <f>IFERROR(SUMIFS(INDEX(rastreabilidade!$F:$H,0,MATCH(F$3,rastreabilidade!$F$1:$H$1,0)),rastreabilidade!$N:$N,$AM5),0)
+IF($N5="",0,IFERROR(SUMIFS(INDEX(rastreabilidade!$F:$H,0,MATCH(F$3,rastreabilidade!$F$1:$H$1,0)),rastreabilidade!$M:$M,$N5),0))
+IF($O5="",0,IFERROR(SUMIFS(INDEX(rastreabilidade!$F:$H,0,MATCH(F$3,rastreabilidade!$F$1:$H$1,0)),rastreabilidade!$M:$M,$O5),0))
+IF($P5="",0,IFERROR(SUMIFS(INDEX(rastreabilidade!$F:$H,0,MATCH(F$3,rastreabilidade!$F$1:$H$1,0)),rastreabilidade!$M:$M,$P5),0))
+IF($Q5="",0,IFERROR(SUMIFS(INDEX(rastreabilidade!$F:$H,0,MATCH(F$3,rastreabilidade!$F$1:$H$1,0)),rastreabilidade!$M:$M,$Q5),0))
-IF($J5="",0,IFERROR(SUMIFS(INDEX(rastreabilidade!$F:$H,0,MATCH(F$3,rastreabilidade!$F$1:$H$1,0)),rastreabilidade!$M:$M,$J5,rastreabilidade!$N:$N,$AM5),0))
-IF($K5="",0,IFERROR(SUMIFS(INDEX(rastreabilidade!$F:$H,0,MATCH(F$3,rastreabilidade!$F$1:$H$1,0)),rastreabilidade!$M:$M,$K5,rastreabilidade!$N:$N,$AM5),0))
-IF($L5="",0,IFERROR(SUMIFS(INDEX(rastreabilidade!$F:$H,0,MATCH(F$3,rastreabilidade!$F$1:$H$1,0)),rastreabilidade!$M:$M,$L5,rastreabilidade!$N:$N,$AM5),0))
-IF($M5="",0,IFERROR(SUMIFS(INDEX(rastreabilidade!$F:$H,0,MATCH(F$3,rastreabilidade!$F$1:$H$1,0)),rastreabilidade!$M:$M,$M5,rastreabilidade!$N:$N,$AM5),0))</f>
        <v>0</v>
      </c>
      <c r="G5" s="120">
        <f>IFERROR(SUMIFS(INDEX(rastreabilidade!$F:$H,0,MATCH(G$3,rastreabilidade!$F$1:$H$1,0)),rastreabilidade!$N:$N,$AM5),0)
+IF($N5="",0,IFERROR(SUMIFS(INDEX(rastreabilidade!$F:$H,0,MATCH(G$3,rastreabilidade!$F$1:$H$1,0)),rastreabilidade!$M:$M,$N5),0))
+IF($O5="",0,IFERROR(SUMIFS(INDEX(rastreabilidade!$F:$H,0,MATCH(G$3,rastreabilidade!$F$1:$H$1,0)),rastreabilidade!$M:$M,$O5),0))
+IF($P5="",0,IFERROR(SUMIFS(INDEX(rastreabilidade!$F:$H,0,MATCH(G$3,rastreabilidade!$F$1:$H$1,0)),rastreabilidade!$M:$M,$P5),0))
+IF($Q5="",0,IFERROR(SUMIFS(INDEX(rastreabilidade!$F:$H,0,MATCH(G$3,rastreabilidade!$F$1:$H$1,0)),rastreabilidade!$M:$M,$Q5),0))
-IF($J5="",0,IFERROR(SUMIFS(INDEX(rastreabilidade!$F:$H,0,MATCH(G$3,rastreabilidade!$F$1:$H$1,0)),rastreabilidade!$M:$M,$J5,rastreabilidade!$N:$N,$AM5),0))
-IF($K5="",0,IFERROR(SUMIFS(INDEX(rastreabilidade!$F:$H,0,MATCH(G$3,rastreabilidade!$F$1:$H$1,0)),rastreabilidade!$M:$M,$K5,rastreabilidade!$N:$N,$AM5),0))
-IF($L5="",0,IFERROR(SUMIFS(INDEX(rastreabilidade!$F:$H,0,MATCH(G$3,rastreabilidade!$F$1:$H$1,0)),rastreabilidade!$M:$M,$L5,rastreabilidade!$N:$N,$AM5),0))
-IF($M5="",0,IFERROR(SUMIFS(INDEX(rastreabilidade!$F:$H,0,MATCH(G$3,rastreabilidade!$F$1:$H$1,0)),rastreabilidade!$M:$M,$M5,rastreabilidade!$N:$N,$AM5),0))</f>
        <v>0</v>
      </c>
      <c r="H5" s="34"/>
      <c r="I5" s="155" t="str" cm="1">
        <f t="array" ref="I5">_xlfn.LET(
_xlpm.mem,H5,
_xlpm.retiradas,J5:M5,
_xlpm.adicoes,N5:Q5,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" s="54"/>
      <c r="K5" s="54"/>
      <c r="L5" s="54"/>
      <c r="M5" s="54"/>
      <c r="N5" s="58"/>
      <c r="O5" s="58"/>
      <c r="P5" s="58"/>
      <c r="Q5" s="108"/>
      <c r="R5" s="4"/>
      <c r="S5" s="97" t="s">
        <v>20</v>
      </c>
      <c r="T5" s="11">
        <f>IFERROR(SUMIFS(INDEX(rastreabilidade!$F:$H,0,MATCH($T$2,rastreabilidade!$F$1:$H$1,0)),rastreabilidade!$K:$K,$S5,rastreabilidade!$D:$D,"Sim"),0)</f>
        <v>0</v>
      </c>
      <c r="U5" s="35"/>
      <c r="V5" s="4"/>
      <c r="W5" s="156">
        <f>IFERROR(SUMIFS(INDEX(rastreabilidade!$F:$H,0,MATCH(W$3,rastreabilidade!$F$1:$H$1,0)),rastreabilidade!$N:$N,$AN5),0)*IF($AB5="sim",-1,1)
+IF($AG5="",0,IFERROR(SUMIFS(INDEX(rastreabilidade!$F:$H,0,MATCH(W$3,rastreabilidade!$F$1:$H$1,0)),rastreabilidade!$M:$M,$AG5),0))
+IF($AH5="",0,IFERROR(SUMIFS(INDEX(rastreabilidade!$F:$H,0,MATCH(W$3,rastreabilidade!$F$1:$H$1,0)),rastreabilidade!$M:$M,$AH5),0))
+IF($AI5="",0,IFERROR(SUMIFS(INDEX(rastreabilidade!$F:$H,0,MATCH(W$3,rastreabilidade!$F$1:$H$1,0)),rastreabilidade!$M:$M,$AI5),0))
+IF($AJ5="",0,IFERROR(SUMIFS(INDEX(rastreabilidade!$F:$H,0,MATCH(W$3,rastreabilidade!$F$1:$H$1,0)),rastreabilidade!$M:$M,$AJ5),0))
-IF($AC5="",0,IFERROR(SUMIFS(INDEX(rastreabilidade!$F:$H,0,MATCH(W$3,rastreabilidade!$F$1:$H$1,0)),rastreabilidade!$M:$M,$AC5,rastreabilidade!$N:$N,$AN5),0))
-IF($AD5="",0,IFERROR(SUMIFS(INDEX(rastreabilidade!$F:$H,0,MATCH(W$3,rastreabilidade!$F$1:$H$1,0)),rastreabilidade!$M:$M,$AD5,rastreabilidade!$N:$N,$AN5),0))
-IF($AE5="",0,IFERROR(SUMIFS(INDEX(rastreabilidade!$F:$H,0,MATCH(W$3,rastreabilidade!$F$1:$H$1,0)),rastreabilidade!$M:$M,$AE5,rastreabilidade!$N:$N,$AN5),0))
-IF($AF5="",0,IFERROR(SUMIFS(INDEX(rastreabilidade!$F:$H,0,MATCH(W$3,rastreabilidade!$F$1:$H$1,0)),rastreabilidade!$M:$M,$AF5,rastreabilidade!$N:$N,$AN5),0))</f>
        <v>0</v>
      </c>
      <c r="X5" s="157">
        <f>IFERROR(SUMIFS(INDEX(rastreabilidade!$F:$H,0,MATCH(X$3,rastreabilidade!$F$1:$H$1,0)),rastreabilidade!$N:$N,$AN5),0)*IF($AB5="sim",-1,1)
+IF($AG5="",0,IFERROR(SUMIFS(INDEX(rastreabilidade!$F:$H,0,MATCH(X$3,rastreabilidade!$F$1:$H$1,0)),rastreabilidade!$M:$M,$AG5),0))
+IF($AH5="",0,IFERROR(SUMIFS(INDEX(rastreabilidade!$F:$H,0,MATCH(X$3,rastreabilidade!$F$1:$H$1,0)),rastreabilidade!$M:$M,$AH5),0))
+IF($AI5="",0,IFERROR(SUMIFS(INDEX(rastreabilidade!$F:$H,0,MATCH(X$3,rastreabilidade!$F$1:$H$1,0)),rastreabilidade!$M:$M,$AI5),0))
+IF($AJ5="",0,IFERROR(SUMIFS(INDEX(rastreabilidade!$F:$H,0,MATCH(X$3,rastreabilidade!$F$1:$H$1,0)),rastreabilidade!$M:$M,$AJ5),0))
-IF($AC5="",0,IFERROR(SUMIFS(INDEX(rastreabilidade!$F:$H,0,MATCH(X$3,rastreabilidade!$F$1:$H$1,0)),rastreabilidade!$M:$M,$AC5,rastreabilidade!$N:$N,$AN5),0))
-IF($AD5="",0,IFERROR(SUMIFS(INDEX(rastreabilidade!$F:$H,0,MATCH(X$3,rastreabilidade!$F$1:$H$1,0)),rastreabilidade!$M:$M,$AD5,rastreabilidade!$N:$N,$AN5),0))
-IF($AE5="",0,IFERROR(SUMIFS(INDEX(rastreabilidade!$F:$H,0,MATCH(X$3,rastreabilidade!$F$1:$H$1,0)),rastreabilidade!$M:$M,$AE5,rastreabilidade!$N:$N,$AN5),0))
-IF($AF5="",0,IFERROR(SUMIFS(INDEX(rastreabilidade!$F:$H,0,MATCH(X$3,rastreabilidade!$F$1:$H$1,0)),rastreabilidade!$M:$M,$AF5,rastreabilidade!$N:$N,$AN5),0))</f>
        <v>0</v>
      </c>
      <c r="Y5" s="157">
        <f>IFERROR(SUMIFS(INDEX(rastreabilidade!$F:$H,0,MATCH(Y$3,rastreabilidade!$F$1:$H$1,0)),rastreabilidade!$N:$N,$AN5),0)*IF($AB5="sim",-1,1)
+IF($AG5="",0,IFERROR(SUMIFS(INDEX(rastreabilidade!$F:$H,0,MATCH(Y$3,rastreabilidade!$F$1:$H$1,0)),rastreabilidade!$M:$M,$AG5),0))
+IF($AH5="",0,IFERROR(SUMIFS(INDEX(rastreabilidade!$F:$H,0,MATCH(Y$3,rastreabilidade!$F$1:$H$1,0)),rastreabilidade!$M:$M,$AH5),0))
+IF($AI5="",0,IFERROR(SUMIFS(INDEX(rastreabilidade!$F:$H,0,MATCH(Y$3,rastreabilidade!$F$1:$H$1,0)),rastreabilidade!$M:$M,$AI5),0))
+IF($AJ5="",0,IFERROR(SUMIFS(INDEX(rastreabilidade!$F:$H,0,MATCH(Y$3,rastreabilidade!$F$1:$H$1,0)),rastreabilidade!$M:$M,$AJ5),0))
-IF($AC5="",0,IFERROR(SUMIFS(INDEX(rastreabilidade!$F:$H,0,MATCH(Y$3,rastreabilidade!$F$1:$H$1,0)),rastreabilidade!$M:$M,$AC5,rastreabilidade!$N:$N,$AN5),0))
-IF($AD5="",0,IFERROR(SUMIFS(INDEX(rastreabilidade!$F:$H,0,MATCH(Y$3,rastreabilidade!$F$1:$H$1,0)),rastreabilidade!$M:$M,$AD5,rastreabilidade!$N:$N,$AN5),0))
-IF($AE5="",0,IFERROR(SUMIFS(INDEX(rastreabilidade!$F:$H,0,MATCH(Y$3,rastreabilidade!$F$1:$H$1,0)),rastreabilidade!$M:$M,$AE5,rastreabilidade!$N:$N,$AN5),0))
-IF($AF5="",0,IFERROR(SUMIFS(INDEX(rastreabilidade!$F:$H,0,MATCH(Y$3,rastreabilidade!$F$1:$H$1,0)),rastreabilidade!$M:$M,$AF5,rastreabilidade!$N:$N,$AN5),0))</f>
        <v>0</v>
      </c>
      <c r="Z5" s="60"/>
      <c r="AA5" s="177" t="str" cm="1">
        <f t="array" ref="AA5">_xlfn.LET(
_xlpm.mem,Z5,
_xlpm.retiradas,AC5:AF5,
_xlpm.adicoes,AG5:AJ5,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5" s="114"/>
      <c r="AC5" s="54"/>
      <c r="AD5" s="54"/>
      <c r="AE5" s="54"/>
      <c r="AF5" s="54"/>
      <c r="AG5" s="58"/>
      <c r="AH5" s="58"/>
      <c r="AI5" s="58"/>
      <c r="AJ5" s="108"/>
      <c r="AL5" s="5"/>
      <c r="AM5" s="5" t="str">
        <f t="shared" ref="AM5:AM22" si="0">_xlfn.TEXTJOIN("|",TRUE,A5,"Ativo","Circulante")</f>
        <v>Caixa|Ativo|Circulante</v>
      </c>
      <c r="AN5" s="5" t="str">
        <f t="shared" ref="AN5:AN41" si="1">_xlfn.CONCAT(S5,"|","DRE","|","DRE",)</f>
        <v>Vendas Totais|DRE|DRE</v>
      </c>
      <c r="AO5" s="5"/>
      <c r="AP5" s="5"/>
      <c r="AQ5" s="6"/>
      <c r="AR5" s="7"/>
      <c r="AS5" s="7"/>
      <c r="AT5" s="7"/>
    </row>
    <row r="6" spans="1:46" ht="35.1" customHeight="1" x14ac:dyDescent="0.25">
      <c r="A6" s="78" t="s">
        <v>21</v>
      </c>
      <c r="B6" s="121">
        <f>IFERROR(SUMIFS(INDEX(rastreabilidade!$F:$H,0,MATCH($B$2,rastreabilidade!$F$1:$H$1,0)),rastreabilidade!$K:$K,$A6,rastreabilidade!$D:$D,"Sim"),0)</f>
        <v>0</v>
      </c>
      <c r="C6" s="35"/>
      <c r="D6" s="4"/>
      <c r="E6" s="121">
        <f>IFERROR(SUMIFS(INDEX(rastreabilidade!$F:$H,0,MATCH(E$3,rastreabilidade!$F$1:$H$1,0)),rastreabilidade!$N:$N,$AM6),0)
+IF($N6="",0,IFERROR(SUMIFS(INDEX(rastreabilidade!$F:$H,0,MATCH(E$3,rastreabilidade!$F$1:$H$1,0)),rastreabilidade!$M:$M,$N6),0))
+IF($O6="",0,IFERROR(SUMIFS(INDEX(rastreabilidade!$F:$H,0,MATCH(E$3,rastreabilidade!$F$1:$H$1,0)),rastreabilidade!$M:$M,$O6),0))
+IF($P6="",0,IFERROR(SUMIFS(INDEX(rastreabilidade!$F:$H,0,MATCH(E$3,rastreabilidade!$F$1:$H$1,0)),rastreabilidade!$M:$M,$P6),0))
+IF($Q6="",0,IFERROR(SUMIFS(INDEX(rastreabilidade!$F:$H,0,MATCH(E$3,rastreabilidade!$F$1:$H$1,0)),rastreabilidade!$M:$M,$Q6),0))
-IF($J6="",0,IFERROR(SUMIFS(INDEX(rastreabilidade!$F:$H,0,MATCH(E$3,rastreabilidade!$F$1:$H$1,0)),rastreabilidade!$M:$M,$J6,rastreabilidade!$N:$N,$AM6),0))
-IF($K6="",0,IFERROR(SUMIFS(INDEX(rastreabilidade!$F:$H,0,MATCH(E$3,rastreabilidade!$F$1:$H$1,0)),rastreabilidade!$M:$M,$K6,rastreabilidade!$N:$N,$AM6),0))
-IF($L6="",0,IFERROR(SUMIFS(INDEX(rastreabilidade!$F:$H,0,MATCH(E$3,rastreabilidade!$F$1:$H$1,0)),rastreabilidade!$M:$M,$L6,rastreabilidade!$N:$N,$AM6),0))
-IF($M6="",0,IFERROR(SUMIFS(INDEX(rastreabilidade!$F:$H,0,MATCH(E$3,rastreabilidade!$F$1:$H$1,0)),rastreabilidade!$M:$M,$M6,rastreabilidade!$N:$N,$AM6),0))</f>
        <v>0</v>
      </c>
      <c r="F6" s="121">
        <f>IFERROR(SUMIFS(INDEX(rastreabilidade!$F:$H,0,MATCH(F$3,rastreabilidade!$F$1:$H$1,0)),rastreabilidade!$N:$N,$AM6),0)
+IF($N6="",0,IFERROR(SUMIFS(INDEX(rastreabilidade!$F:$H,0,MATCH(F$3,rastreabilidade!$F$1:$H$1,0)),rastreabilidade!$M:$M,$N6),0))
+IF($O6="",0,IFERROR(SUMIFS(INDEX(rastreabilidade!$F:$H,0,MATCH(F$3,rastreabilidade!$F$1:$H$1,0)),rastreabilidade!$M:$M,$O6),0))
+IF($P6="",0,IFERROR(SUMIFS(INDEX(rastreabilidade!$F:$H,0,MATCH(F$3,rastreabilidade!$F$1:$H$1,0)),rastreabilidade!$M:$M,$P6),0))
+IF($Q6="",0,IFERROR(SUMIFS(INDEX(rastreabilidade!$F:$H,0,MATCH(F$3,rastreabilidade!$F$1:$H$1,0)),rastreabilidade!$M:$M,$Q6),0))
-IF($J6="",0,IFERROR(SUMIFS(INDEX(rastreabilidade!$F:$H,0,MATCH(F$3,rastreabilidade!$F$1:$H$1,0)),rastreabilidade!$M:$M,$J6,rastreabilidade!$N:$N,$AM6),0))
-IF($K6="",0,IFERROR(SUMIFS(INDEX(rastreabilidade!$F:$H,0,MATCH(F$3,rastreabilidade!$F$1:$H$1,0)),rastreabilidade!$M:$M,$K6,rastreabilidade!$N:$N,$AM6),0))
-IF($L6="",0,IFERROR(SUMIFS(INDEX(rastreabilidade!$F:$H,0,MATCH(F$3,rastreabilidade!$F$1:$H$1,0)),rastreabilidade!$M:$M,$L6,rastreabilidade!$N:$N,$AM6),0))
-IF($M6="",0,IFERROR(SUMIFS(INDEX(rastreabilidade!$F:$H,0,MATCH(F$3,rastreabilidade!$F$1:$H$1,0)),rastreabilidade!$M:$M,$M6,rastreabilidade!$N:$N,$AM6),0))</f>
        <v>0</v>
      </c>
      <c r="G6" s="122">
        <f>IFERROR(SUMIFS(INDEX(rastreabilidade!$F:$H,0,MATCH(G$3,rastreabilidade!$F$1:$H$1,0)),rastreabilidade!$N:$N,$AM6),0)
+IF($N6="",0,IFERROR(SUMIFS(INDEX(rastreabilidade!$F:$H,0,MATCH(G$3,rastreabilidade!$F$1:$H$1,0)),rastreabilidade!$M:$M,$N6),0))
+IF($O6="",0,IFERROR(SUMIFS(INDEX(rastreabilidade!$F:$H,0,MATCH(G$3,rastreabilidade!$F$1:$H$1,0)),rastreabilidade!$M:$M,$O6),0))
+IF($P6="",0,IFERROR(SUMIFS(INDEX(rastreabilidade!$F:$H,0,MATCH(G$3,rastreabilidade!$F$1:$H$1,0)),rastreabilidade!$M:$M,$P6),0))
+IF($Q6="",0,IFERROR(SUMIFS(INDEX(rastreabilidade!$F:$H,0,MATCH(G$3,rastreabilidade!$F$1:$H$1,0)),rastreabilidade!$M:$M,$Q6),0))
-IF($J6="",0,IFERROR(SUMIFS(INDEX(rastreabilidade!$F:$H,0,MATCH(G$3,rastreabilidade!$F$1:$H$1,0)),rastreabilidade!$M:$M,$J6,rastreabilidade!$N:$N,$AM6),0))
-IF($K6="",0,IFERROR(SUMIFS(INDEX(rastreabilidade!$F:$H,0,MATCH(G$3,rastreabilidade!$F$1:$H$1,0)),rastreabilidade!$M:$M,$K6,rastreabilidade!$N:$N,$AM6),0))
-IF($L6="",0,IFERROR(SUMIFS(INDEX(rastreabilidade!$F:$H,0,MATCH(G$3,rastreabilidade!$F$1:$H$1,0)),rastreabilidade!$M:$M,$L6,rastreabilidade!$N:$N,$AM6),0))
-IF($M6="",0,IFERROR(SUMIFS(INDEX(rastreabilidade!$F:$H,0,MATCH(G$3,rastreabilidade!$F$1:$H$1,0)),rastreabilidade!$M:$M,$M6,rastreabilidade!$N:$N,$AM6),0))</f>
        <v>0</v>
      </c>
      <c r="H6" s="36"/>
      <c r="I6" s="155" t="str" cm="1">
        <f t="array" ref="I6">_xlfn.LET(
_xlpm.mem,H6,
_xlpm.retiradas,J6:M6,
_xlpm.adicoes,N6:Q6,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" s="54"/>
      <c r="K6" s="54"/>
      <c r="L6" s="54"/>
      <c r="M6" s="54"/>
      <c r="N6" s="58"/>
      <c r="O6" s="58"/>
      <c r="P6" s="58"/>
      <c r="Q6" s="108"/>
      <c r="R6" s="4"/>
      <c r="S6" s="98" t="s">
        <v>22</v>
      </c>
      <c r="T6" s="12">
        <f>IFERROR(SUMIFS(INDEX(rastreabilidade!$F:$H,0,MATCH($T$2,rastreabilidade!$F$1:$H$1,0)),rastreabilidade!$K:$K,$S6,rastreabilidade!$D:$D,"Sim"),0)</f>
        <v>0</v>
      </c>
      <c r="U6" s="35"/>
      <c r="V6" s="4"/>
      <c r="W6" s="156">
        <f>IFERROR(SUMIFS(INDEX(rastreabilidade!$F:$H,0,MATCH(W$3,rastreabilidade!$F$1:$H$1,0)),rastreabilidade!$N:$N,$AN6),0)*IF($AB6="sim",-1,1)
+IF($AG6="",0,IFERROR(SUMIFS(INDEX(rastreabilidade!$F:$H,0,MATCH(W$3,rastreabilidade!$F$1:$H$1,0)),rastreabilidade!$M:$M,$AG6),0))
+IF($AH6="",0,IFERROR(SUMIFS(INDEX(rastreabilidade!$F:$H,0,MATCH(W$3,rastreabilidade!$F$1:$H$1,0)),rastreabilidade!$M:$M,$AH6),0))
+IF($AI6="",0,IFERROR(SUMIFS(INDEX(rastreabilidade!$F:$H,0,MATCH(W$3,rastreabilidade!$F$1:$H$1,0)),rastreabilidade!$M:$M,$AI6),0))
+IF($AJ6="",0,IFERROR(SUMIFS(INDEX(rastreabilidade!$F:$H,0,MATCH(W$3,rastreabilidade!$F$1:$H$1,0)),rastreabilidade!$M:$M,$AJ6),0))
-IF($AC6="",0,IFERROR(SUMIFS(INDEX(rastreabilidade!$F:$H,0,MATCH(W$3,rastreabilidade!$F$1:$H$1,0)),rastreabilidade!$M:$M,$AC6,rastreabilidade!$N:$N,$AN6),0))
-IF($AD6="",0,IFERROR(SUMIFS(INDEX(rastreabilidade!$F:$H,0,MATCH(W$3,rastreabilidade!$F$1:$H$1,0)),rastreabilidade!$M:$M,$AD6,rastreabilidade!$N:$N,$AN6),0))
-IF($AE6="",0,IFERROR(SUMIFS(INDEX(rastreabilidade!$F:$H,0,MATCH(W$3,rastreabilidade!$F$1:$H$1,0)),rastreabilidade!$M:$M,$AE6,rastreabilidade!$N:$N,$AN6),0))
-IF($AF6="",0,IFERROR(SUMIFS(INDEX(rastreabilidade!$F:$H,0,MATCH(W$3,rastreabilidade!$F$1:$H$1,0)),rastreabilidade!$M:$M,$AF6,rastreabilidade!$N:$N,$AN6),0))</f>
        <v>0</v>
      </c>
      <c r="X6" s="158">
        <f>IFERROR(SUMIFS(INDEX(rastreabilidade!$F:$H,0,MATCH(X$3,rastreabilidade!$F$1:$H$1,0)),rastreabilidade!$N:$N,$AN6),0)*IF($AB6="sim",-1,1)
+IF($AG6="",0,IFERROR(SUMIFS(INDEX(rastreabilidade!$F:$H,0,MATCH(X$3,rastreabilidade!$F$1:$H$1,0)),rastreabilidade!$M:$M,$AG6),0))
+IF($AH6="",0,IFERROR(SUMIFS(INDEX(rastreabilidade!$F:$H,0,MATCH(X$3,rastreabilidade!$F$1:$H$1,0)),rastreabilidade!$M:$M,$AH6),0))
+IF($AI6="",0,IFERROR(SUMIFS(INDEX(rastreabilidade!$F:$H,0,MATCH(X$3,rastreabilidade!$F$1:$H$1,0)),rastreabilidade!$M:$M,$AI6),0))
+IF($AJ6="",0,IFERROR(SUMIFS(INDEX(rastreabilidade!$F:$H,0,MATCH(X$3,rastreabilidade!$F$1:$H$1,0)),rastreabilidade!$M:$M,$AJ6),0))
-IF($AC6="",0,IFERROR(SUMIFS(INDEX(rastreabilidade!$F:$H,0,MATCH(X$3,rastreabilidade!$F$1:$H$1,0)),rastreabilidade!$M:$M,$AC6,rastreabilidade!$N:$N,$AN6),0))
-IF($AD6="",0,IFERROR(SUMIFS(INDEX(rastreabilidade!$F:$H,0,MATCH(X$3,rastreabilidade!$F$1:$H$1,0)),rastreabilidade!$M:$M,$AD6,rastreabilidade!$N:$N,$AN6),0))
-IF($AE6="",0,IFERROR(SUMIFS(INDEX(rastreabilidade!$F:$H,0,MATCH(X$3,rastreabilidade!$F$1:$H$1,0)),rastreabilidade!$M:$M,$AE6,rastreabilidade!$N:$N,$AN6),0))
-IF($AF6="",0,IFERROR(SUMIFS(INDEX(rastreabilidade!$F:$H,0,MATCH(X$3,rastreabilidade!$F$1:$H$1,0)),rastreabilidade!$M:$M,$AF6,rastreabilidade!$N:$N,$AN6),0))</f>
        <v>0</v>
      </c>
      <c r="Y6" s="158">
        <f>IFERROR(SUMIFS(INDEX(rastreabilidade!$F:$H,0,MATCH(Y$3,rastreabilidade!$F$1:$H$1,0)),rastreabilidade!$N:$N,$AN6),0)*IF($AB6="sim",-1,1)
+IF($AG6="",0,IFERROR(SUMIFS(INDEX(rastreabilidade!$F:$H,0,MATCH(Y$3,rastreabilidade!$F$1:$H$1,0)),rastreabilidade!$M:$M,$AG6),0))
+IF($AH6="",0,IFERROR(SUMIFS(INDEX(rastreabilidade!$F:$H,0,MATCH(Y$3,rastreabilidade!$F$1:$H$1,0)),rastreabilidade!$M:$M,$AH6),0))
+IF($AI6="",0,IFERROR(SUMIFS(INDEX(rastreabilidade!$F:$H,0,MATCH(Y$3,rastreabilidade!$F$1:$H$1,0)),rastreabilidade!$M:$M,$AI6),0))
+IF($AJ6="",0,IFERROR(SUMIFS(INDEX(rastreabilidade!$F:$H,0,MATCH(Y$3,rastreabilidade!$F$1:$H$1,0)),rastreabilidade!$M:$M,$AJ6),0))
-IF($AC6="",0,IFERROR(SUMIFS(INDEX(rastreabilidade!$F:$H,0,MATCH(Y$3,rastreabilidade!$F$1:$H$1,0)),rastreabilidade!$M:$M,$AC6,rastreabilidade!$N:$N,$AN6),0))
-IF($AD6="",0,IFERROR(SUMIFS(INDEX(rastreabilidade!$F:$H,0,MATCH(Y$3,rastreabilidade!$F$1:$H$1,0)),rastreabilidade!$M:$M,$AD6,rastreabilidade!$N:$N,$AN6),0))
-IF($AE6="",0,IFERROR(SUMIFS(INDEX(rastreabilidade!$F:$H,0,MATCH(Y$3,rastreabilidade!$F$1:$H$1,0)),rastreabilidade!$M:$M,$AE6,rastreabilidade!$N:$N,$AN6),0))
-IF($AF6="",0,IFERROR(SUMIFS(INDEX(rastreabilidade!$F:$H,0,MATCH(Y$3,rastreabilidade!$F$1:$H$1,0)),rastreabilidade!$M:$M,$AF6,rastreabilidade!$N:$N,$AN6),0))</f>
        <v>0</v>
      </c>
      <c r="Z6" s="36"/>
      <c r="AA6" s="177" t="str" cm="1">
        <f t="array" ref="AA6">_xlfn.LET(
_xlpm.mem,Z6,
_xlpm.retiradas,AC6:AF6,
_xlpm.adicoes,AG6:AJ6,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6" s="114"/>
      <c r="AC6" s="54"/>
      <c r="AD6" s="54"/>
      <c r="AE6" s="54"/>
      <c r="AF6" s="54"/>
      <c r="AG6" s="58"/>
      <c r="AH6" s="58"/>
      <c r="AI6" s="58"/>
      <c r="AJ6" s="108"/>
      <c r="AL6" s="5"/>
      <c r="AM6" s="5" t="str">
        <f t="shared" si="0"/>
        <v>Aplicações Financeiras|Ativo|Circulante</v>
      </c>
      <c r="AN6" s="5" t="str">
        <f t="shared" si="1"/>
        <v>-Impostos|DRE|DRE</v>
      </c>
      <c r="AO6" s="5"/>
      <c r="AP6" s="5"/>
      <c r="AQ6" s="6"/>
      <c r="AR6" s="7"/>
      <c r="AS6" s="7"/>
      <c r="AT6" s="7"/>
    </row>
    <row r="7" spans="1:46" ht="35.1" customHeight="1" x14ac:dyDescent="0.25">
      <c r="A7" s="79" t="s">
        <v>23</v>
      </c>
      <c r="B7" s="123">
        <f>+B6+B5</f>
        <v>0</v>
      </c>
      <c r="C7" s="39"/>
      <c r="D7" s="4"/>
      <c r="E7" s="123">
        <f>+E6+E5</f>
        <v>0</v>
      </c>
      <c r="F7" s="123">
        <f>+F6+F5</f>
        <v>0</v>
      </c>
      <c r="G7" s="124">
        <f>+G6+G5</f>
        <v>0</v>
      </c>
      <c r="H7" s="37"/>
      <c r="I7" s="39"/>
      <c r="J7" s="38"/>
      <c r="K7" s="38"/>
      <c r="L7" s="38"/>
      <c r="M7" s="38"/>
      <c r="N7" s="38"/>
      <c r="O7" s="38"/>
      <c r="P7" s="38"/>
      <c r="Q7" s="38"/>
      <c r="R7" s="4"/>
      <c r="S7" s="90" t="s">
        <v>24</v>
      </c>
      <c r="T7" s="14">
        <f>+T5-T6</f>
        <v>0</v>
      </c>
      <c r="U7" s="51"/>
      <c r="V7" s="4"/>
      <c r="W7" s="159">
        <f>+W5-W6</f>
        <v>0</v>
      </c>
      <c r="X7" s="159">
        <f>+X5-X6</f>
        <v>0</v>
      </c>
      <c r="Y7" s="159">
        <f>+Y5-Y6</f>
        <v>0</v>
      </c>
      <c r="Z7" s="60"/>
      <c r="AA7" s="51"/>
      <c r="AB7" s="115"/>
      <c r="AC7" s="51"/>
      <c r="AD7" s="51"/>
      <c r="AE7" s="51"/>
      <c r="AF7" s="51"/>
      <c r="AG7" s="51"/>
      <c r="AH7" s="51"/>
      <c r="AI7" s="51"/>
      <c r="AJ7" s="105"/>
      <c r="AL7" s="5"/>
      <c r="AM7" s="5" t="str">
        <f t="shared" si="0"/>
        <v>Disponibilidades|Ativo|Circulante</v>
      </c>
      <c r="AN7" s="5" t="str">
        <f t="shared" si="1"/>
        <v>Vendas Líquidas|DRE|DRE</v>
      </c>
      <c r="AO7" s="5"/>
      <c r="AP7" s="5"/>
      <c r="AQ7" s="6"/>
      <c r="AR7" s="7"/>
      <c r="AS7" s="7"/>
      <c r="AT7" s="7"/>
    </row>
    <row r="8" spans="1:46" ht="35.1" customHeight="1" x14ac:dyDescent="0.25">
      <c r="A8" s="78" t="s">
        <v>25</v>
      </c>
      <c r="B8" s="121">
        <f>IFERROR(SUMIFS(INDEX(rastreabilidade!$F:$H,0,MATCH($B$2,rastreabilidade!$F$1:$H$1,0)),rastreabilidade!$K:$K,$A8,rastreabilidade!$D:$D,"Sim"),0)</f>
        <v>0</v>
      </c>
      <c r="C8" s="35"/>
      <c r="D8" s="4"/>
      <c r="E8" s="121">
        <f>IFERROR(SUMIFS(INDEX(rastreabilidade!$F:$H,0,MATCH(E$3,rastreabilidade!$F$1:$H$1,0)),rastreabilidade!$N:$N,$AM8),0)
+IF($N8="",0,IFERROR(SUMIFS(INDEX(rastreabilidade!$F:$H,0,MATCH(E$3,rastreabilidade!$F$1:$H$1,0)),rastreabilidade!$M:$M,$N8),0))
+IF($O8="",0,IFERROR(SUMIFS(INDEX(rastreabilidade!$F:$H,0,MATCH(E$3,rastreabilidade!$F$1:$H$1,0)),rastreabilidade!$M:$M,$O8),0))
+IF($P8="",0,IFERROR(SUMIFS(INDEX(rastreabilidade!$F:$H,0,MATCH(E$3,rastreabilidade!$F$1:$H$1,0)),rastreabilidade!$M:$M,$P8),0))
+IF($Q8="",0,IFERROR(SUMIFS(INDEX(rastreabilidade!$F:$H,0,MATCH(E$3,rastreabilidade!$F$1:$H$1,0)),rastreabilidade!$M:$M,$Q8),0))
-IF($J8="",0,IFERROR(SUMIFS(INDEX(rastreabilidade!$F:$H,0,MATCH(E$3,rastreabilidade!$F$1:$H$1,0)),rastreabilidade!$M:$M,$J8,rastreabilidade!$N:$N,$AM8),0))
-IF($K8="",0,IFERROR(SUMIFS(INDEX(rastreabilidade!$F:$H,0,MATCH(E$3,rastreabilidade!$F$1:$H$1,0)),rastreabilidade!$M:$M,$K8,rastreabilidade!$N:$N,$AM8),0))
-IF($L8="",0,IFERROR(SUMIFS(INDEX(rastreabilidade!$F:$H,0,MATCH(E$3,rastreabilidade!$F$1:$H$1,0)),rastreabilidade!$M:$M,$L8,rastreabilidade!$N:$N,$AM8),0))
-IF($M8="",0,IFERROR(SUMIFS(INDEX(rastreabilidade!$F:$H,0,MATCH(E$3,rastreabilidade!$F$1:$H$1,0)),rastreabilidade!$M:$M,$M8,rastreabilidade!$N:$N,$AM8),0))</f>
        <v>0</v>
      </c>
      <c r="F8" s="121">
        <f>IFERROR(SUMIFS(INDEX(rastreabilidade!$F:$H,0,MATCH(F$3,rastreabilidade!$F$1:$H$1,0)),rastreabilidade!$N:$N,$AM8),0)
+IF($N8="",0,IFERROR(SUMIFS(INDEX(rastreabilidade!$F:$H,0,MATCH(F$3,rastreabilidade!$F$1:$H$1,0)),rastreabilidade!$M:$M,$N8),0))
+IF($O8="",0,IFERROR(SUMIFS(INDEX(rastreabilidade!$F:$H,0,MATCH(F$3,rastreabilidade!$F$1:$H$1,0)),rastreabilidade!$M:$M,$O8),0))
+IF($P8="",0,IFERROR(SUMIFS(INDEX(rastreabilidade!$F:$H,0,MATCH(F$3,rastreabilidade!$F$1:$H$1,0)),rastreabilidade!$M:$M,$P8),0))
+IF($Q8="",0,IFERROR(SUMIFS(INDEX(rastreabilidade!$F:$H,0,MATCH(F$3,rastreabilidade!$F$1:$H$1,0)),rastreabilidade!$M:$M,$Q8),0))
-IF($J8="",0,IFERROR(SUMIFS(INDEX(rastreabilidade!$F:$H,0,MATCH(F$3,rastreabilidade!$F$1:$H$1,0)),rastreabilidade!$M:$M,$J8,rastreabilidade!$N:$N,$AM8),0))
-IF($K8="",0,IFERROR(SUMIFS(INDEX(rastreabilidade!$F:$H,0,MATCH(F$3,rastreabilidade!$F$1:$H$1,0)),rastreabilidade!$M:$M,$K8,rastreabilidade!$N:$N,$AM8),0))
-IF($L8="",0,IFERROR(SUMIFS(INDEX(rastreabilidade!$F:$H,0,MATCH(F$3,rastreabilidade!$F$1:$H$1,0)),rastreabilidade!$M:$M,$L8,rastreabilidade!$N:$N,$AM8),0))
-IF($M8="",0,IFERROR(SUMIFS(INDEX(rastreabilidade!$F:$H,0,MATCH(F$3,rastreabilidade!$F$1:$H$1,0)),rastreabilidade!$M:$M,$M8,rastreabilidade!$N:$N,$AM8),0))</f>
        <v>0</v>
      </c>
      <c r="G8" s="122">
        <f>IFERROR(SUMIFS(INDEX(rastreabilidade!$F:$H,0,MATCH(G$3,rastreabilidade!$F$1:$H$1,0)),rastreabilidade!$N:$N,$AM8),0)
+IF($N8="",0,IFERROR(SUMIFS(INDEX(rastreabilidade!$F:$H,0,MATCH(G$3,rastreabilidade!$F$1:$H$1,0)),rastreabilidade!$M:$M,$N8),0))
+IF($O8="",0,IFERROR(SUMIFS(INDEX(rastreabilidade!$F:$H,0,MATCH(G$3,rastreabilidade!$F$1:$H$1,0)),rastreabilidade!$M:$M,$O8),0))
+IF($P8="",0,IFERROR(SUMIFS(INDEX(rastreabilidade!$F:$H,0,MATCH(G$3,rastreabilidade!$F$1:$H$1,0)),rastreabilidade!$M:$M,$P8),0))
+IF($Q8="",0,IFERROR(SUMIFS(INDEX(rastreabilidade!$F:$H,0,MATCH(G$3,rastreabilidade!$F$1:$H$1,0)),rastreabilidade!$M:$M,$Q8),0))
-IF($J8="",0,IFERROR(SUMIFS(INDEX(rastreabilidade!$F:$H,0,MATCH(G$3,rastreabilidade!$F$1:$H$1,0)),rastreabilidade!$M:$M,$J8,rastreabilidade!$N:$N,$AM8),0))
-IF($K8="",0,IFERROR(SUMIFS(INDEX(rastreabilidade!$F:$H,0,MATCH(G$3,rastreabilidade!$F$1:$H$1,0)),rastreabilidade!$M:$M,$K8,rastreabilidade!$N:$N,$AM8),0))
-IF($L8="",0,IFERROR(SUMIFS(INDEX(rastreabilidade!$F:$H,0,MATCH(G$3,rastreabilidade!$F$1:$H$1,0)),rastreabilidade!$M:$M,$L8,rastreabilidade!$N:$N,$AM8),0))
-IF($M8="",0,IFERROR(SUMIFS(INDEX(rastreabilidade!$F:$H,0,MATCH(G$3,rastreabilidade!$F$1:$H$1,0)),rastreabilidade!$M:$M,$M8,rastreabilidade!$N:$N,$AM8),0))</f>
        <v>0</v>
      </c>
      <c r="H8" s="59"/>
      <c r="I8" s="155" t="str" cm="1">
        <f t="array" ref="I8">_xlfn.LET(
_xlpm.mem,H8,
_xlpm.retiradas,J8:M8,
_xlpm.adicoes,N8:Q8,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8" s="54"/>
      <c r="K8" s="54"/>
      <c r="L8" s="54"/>
      <c r="M8" s="54"/>
      <c r="N8" s="58"/>
      <c r="O8" s="58"/>
      <c r="P8" s="58"/>
      <c r="Q8" s="108"/>
      <c r="R8" s="4"/>
      <c r="S8" s="99" t="s">
        <v>26</v>
      </c>
      <c r="T8" s="15">
        <f>IFERROR(SUMIFS(INDEX(rastreabilidade!$F:$H,0,MATCH($T$2,rastreabilidade!$F$1:$H$1,0)),rastreabilidade!$K:$K,$S8,rastreabilidade!$D:$D,"Sim"),0)</f>
        <v>0</v>
      </c>
      <c r="U8" s="35"/>
      <c r="V8" s="4"/>
      <c r="W8" s="141">
        <f>IFERROR(SUMIFS(INDEX(rastreabilidade!$F:$H,0,MATCH(W$3,rastreabilidade!$F$1:$H$1,0)),rastreabilidade!$N:$N,$AN8),0)*IF($AB8="sim",-1,1)
+IF($AG8="",0,IFERROR(SUMIFS(INDEX(rastreabilidade!$F:$H,0,MATCH(W$3,rastreabilidade!$F$1:$H$1,0)),rastreabilidade!$M:$M,$AG8),0))
+IF($AH8="",0,IFERROR(SUMIFS(INDEX(rastreabilidade!$F:$H,0,MATCH(W$3,rastreabilidade!$F$1:$H$1,0)),rastreabilidade!$M:$M,$AH8),0))
+IF($AI8="",0,IFERROR(SUMIFS(INDEX(rastreabilidade!$F:$H,0,MATCH(W$3,rastreabilidade!$F$1:$H$1,0)),rastreabilidade!$M:$M,$AI8),0))
+IF($AJ8="",0,IFERROR(SUMIFS(INDEX(rastreabilidade!$F:$H,0,MATCH(W$3,rastreabilidade!$F$1:$H$1,0)),rastreabilidade!$M:$M,$AJ8),0))
-IF($AC8="",0,IFERROR(SUMIFS(INDEX(rastreabilidade!$F:$H,0,MATCH(W$3,rastreabilidade!$F$1:$H$1,0)),rastreabilidade!$M:$M,$AC8,rastreabilidade!$N:$N,$AN8),0))
-IF($AD8="",0,IFERROR(SUMIFS(INDEX(rastreabilidade!$F:$H,0,MATCH(W$3,rastreabilidade!$F$1:$H$1,0)),rastreabilidade!$M:$M,$AD8,rastreabilidade!$N:$N,$AN8),0))
-IF($AE8="",0,IFERROR(SUMIFS(INDEX(rastreabilidade!$F:$H,0,MATCH(W$3,rastreabilidade!$F$1:$H$1,0)),rastreabilidade!$M:$M,$AE8,rastreabilidade!$N:$N,$AN8),0))
-IF($AF8="",0,IFERROR(SUMIFS(INDEX(rastreabilidade!$F:$H,0,MATCH(W$3,rastreabilidade!$F$1:$H$1,0)),rastreabilidade!$M:$M,$AF8,rastreabilidade!$N:$N,$AN8),0))</f>
        <v>0</v>
      </c>
      <c r="X8" s="141">
        <f>IFERROR(SUMIFS(INDEX(rastreabilidade!$F:$H,0,MATCH(X$3,rastreabilidade!$F$1:$H$1,0)),rastreabilidade!$N:$N,$AN8),0)*IF($AB8="sim",-1,1)
+IF($AG8="",0,IFERROR(SUMIFS(INDEX(rastreabilidade!$F:$H,0,MATCH(X$3,rastreabilidade!$F$1:$H$1,0)),rastreabilidade!$M:$M,$AG8),0))
+IF($AH8="",0,IFERROR(SUMIFS(INDEX(rastreabilidade!$F:$H,0,MATCH(X$3,rastreabilidade!$F$1:$H$1,0)),rastreabilidade!$M:$M,$AH8),0))
+IF($AI8="",0,IFERROR(SUMIFS(INDEX(rastreabilidade!$F:$H,0,MATCH(X$3,rastreabilidade!$F$1:$H$1,0)),rastreabilidade!$M:$M,$AI8),0))
+IF($AJ8="",0,IFERROR(SUMIFS(INDEX(rastreabilidade!$F:$H,0,MATCH(X$3,rastreabilidade!$F$1:$H$1,0)),rastreabilidade!$M:$M,$AJ8),0))
-IF($AC8="",0,IFERROR(SUMIFS(INDEX(rastreabilidade!$F:$H,0,MATCH(X$3,rastreabilidade!$F$1:$H$1,0)),rastreabilidade!$M:$M,$AC8,rastreabilidade!$N:$N,$AN8),0))
-IF($AD8="",0,IFERROR(SUMIFS(INDEX(rastreabilidade!$F:$H,0,MATCH(X$3,rastreabilidade!$F$1:$H$1,0)),rastreabilidade!$M:$M,$AD8,rastreabilidade!$N:$N,$AN8),0))
-IF($AE8="",0,IFERROR(SUMIFS(INDEX(rastreabilidade!$F:$H,0,MATCH(X$3,rastreabilidade!$F$1:$H$1,0)),rastreabilidade!$M:$M,$AE8,rastreabilidade!$N:$N,$AN8),0))
-IF($AF8="",0,IFERROR(SUMIFS(INDEX(rastreabilidade!$F:$H,0,MATCH(X$3,rastreabilidade!$F$1:$H$1,0)),rastreabilidade!$M:$M,$AF8,rastreabilidade!$N:$N,$AN8),0))</f>
        <v>0</v>
      </c>
      <c r="Y8" s="141">
        <f>IFERROR(SUMIFS(INDEX(rastreabilidade!$F:$H,0,MATCH(Y$3,rastreabilidade!$F$1:$H$1,0)),rastreabilidade!$N:$N,$AN8),0)*IF($AB8="sim",-1,1)
+IF($AG8="",0,IFERROR(SUMIFS(INDEX(rastreabilidade!$F:$H,0,MATCH(Y$3,rastreabilidade!$F$1:$H$1,0)),rastreabilidade!$M:$M,$AG8),0))
+IF($AH8="",0,IFERROR(SUMIFS(INDEX(rastreabilidade!$F:$H,0,MATCH(Y$3,rastreabilidade!$F$1:$H$1,0)),rastreabilidade!$M:$M,$AH8),0))
+IF($AI8="",0,IFERROR(SUMIFS(INDEX(rastreabilidade!$F:$H,0,MATCH(Y$3,rastreabilidade!$F$1:$H$1,0)),rastreabilidade!$M:$M,$AI8),0))
+IF($AJ8="",0,IFERROR(SUMIFS(INDEX(rastreabilidade!$F:$H,0,MATCH(Y$3,rastreabilidade!$F$1:$H$1,0)),rastreabilidade!$M:$M,$AJ8),0))
-IF($AC8="",0,IFERROR(SUMIFS(INDEX(rastreabilidade!$F:$H,0,MATCH(Y$3,rastreabilidade!$F$1:$H$1,0)),rastreabilidade!$M:$M,$AC8,rastreabilidade!$N:$N,$AN8),0))
-IF($AD8="",0,IFERROR(SUMIFS(INDEX(rastreabilidade!$F:$H,0,MATCH(Y$3,rastreabilidade!$F$1:$H$1,0)),rastreabilidade!$M:$M,$AD8,rastreabilidade!$N:$N,$AN8),0))
-IF($AE8="",0,IFERROR(SUMIFS(INDEX(rastreabilidade!$F:$H,0,MATCH(Y$3,rastreabilidade!$F$1:$H$1,0)),rastreabilidade!$M:$M,$AE8,rastreabilidade!$N:$N,$AN8),0))
-IF($AF8="",0,IFERROR(SUMIFS(INDEX(rastreabilidade!$F:$H,0,MATCH(Y$3,rastreabilidade!$F$1:$H$1,0)),rastreabilidade!$M:$M,$AF8,rastreabilidade!$N:$N,$AN8),0))</f>
        <v>0</v>
      </c>
      <c r="Z8" s="60"/>
      <c r="AA8" s="177" t="str" cm="1">
        <f t="array" ref="AA8">_xlfn.LET(
_xlpm.mem,Z8,
_xlpm.retiradas,AC8:AF8,
_xlpm.adicoes,AG8:AJ8,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8" s="114"/>
      <c r="AC8" s="54"/>
      <c r="AD8" s="54"/>
      <c r="AE8" s="54"/>
      <c r="AF8" s="54"/>
      <c r="AG8" s="58"/>
      <c r="AH8" s="58"/>
      <c r="AI8" s="58"/>
      <c r="AJ8" s="108"/>
      <c r="AL8" s="5"/>
      <c r="AM8" s="5" t="str">
        <f t="shared" si="0"/>
        <v>Clientes|Ativo|Circulante</v>
      </c>
      <c r="AN8" s="5" t="str">
        <f t="shared" si="1"/>
        <v>-Custo de Produtos Vendidos|DRE|DRE</v>
      </c>
      <c r="AO8" s="5"/>
      <c r="AP8" s="5"/>
      <c r="AQ8" s="6"/>
      <c r="AR8" s="7"/>
      <c r="AS8" s="7"/>
      <c r="AT8" s="7"/>
    </row>
    <row r="9" spans="1:46" ht="35.1" customHeight="1" x14ac:dyDescent="0.25">
      <c r="A9" s="77" t="s">
        <v>27</v>
      </c>
      <c r="B9" s="119">
        <f>IFERROR(SUMIFS(INDEX(rastreabilidade!$F:$H,0,MATCH($B$2,rastreabilidade!$F$1:$H$1,0)),rastreabilidade!$K:$K,$A9,rastreabilidade!$D:$D,"Sim"),0)</f>
        <v>0</v>
      </c>
      <c r="C9" s="35"/>
      <c r="D9" s="4"/>
      <c r="E9" s="119">
        <f>IFERROR(SUMIFS(INDEX(rastreabilidade!$F:$H,0,MATCH(E$3,rastreabilidade!$F$1:$H$1,0)),rastreabilidade!$N:$N,$AM9),0)
+IF($N9="",0,IFERROR(SUMIFS(INDEX(rastreabilidade!$F:$H,0,MATCH(E$3,rastreabilidade!$F$1:$H$1,0)),rastreabilidade!$M:$M,$N9),0))
+IF($O9="",0,IFERROR(SUMIFS(INDEX(rastreabilidade!$F:$H,0,MATCH(E$3,rastreabilidade!$F$1:$H$1,0)),rastreabilidade!$M:$M,$O9),0))
+IF($P9="",0,IFERROR(SUMIFS(INDEX(rastreabilidade!$F:$H,0,MATCH(E$3,rastreabilidade!$F$1:$H$1,0)),rastreabilidade!$M:$M,$P9),0))
+IF($Q9="",0,IFERROR(SUMIFS(INDEX(rastreabilidade!$F:$H,0,MATCH(E$3,rastreabilidade!$F$1:$H$1,0)),rastreabilidade!$M:$M,$Q9),0))
-IF($J9="",0,IFERROR(SUMIFS(INDEX(rastreabilidade!$F:$H,0,MATCH(E$3,rastreabilidade!$F$1:$H$1,0)),rastreabilidade!$M:$M,$J9,rastreabilidade!$N:$N,$AM9),0))
-IF($K9="",0,IFERROR(SUMIFS(INDEX(rastreabilidade!$F:$H,0,MATCH(E$3,rastreabilidade!$F$1:$H$1,0)),rastreabilidade!$M:$M,$K9,rastreabilidade!$N:$N,$AM9),0))
-IF($L9="",0,IFERROR(SUMIFS(INDEX(rastreabilidade!$F:$H,0,MATCH(E$3,rastreabilidade!$F$1:$H$1,0)),rastreabilidade!$M:$M,$L9,rastreabilidade!$N:$N,$AM9),0))
-IF($M9="",0,IFERROR(SUMIFS(INDEX(rastreabilidade!$F:$H,0,MATCH(E$3,rastreabilidade!$F$1:$H$1,0)),rastreabilidade!$M:$M,$M9,rastreabilidade!$N:$N,$AM9),0))</f>
        <v>0</v>
      </c>
      <c r="F9" s="119">
        <f>IFERROR(SUMIFS(INDEX(rastreabilidade!$F:$H,0,MATCH(F$3,rastreabilidade!$F$1:$H$1,0)),rastreabilidade!$N:$N,$AM9),0)
+IF($N9="",0,IFERROR(SUMIFS(INDEX(rastreabilidade!$F:$H,0,MATCH(F$3,rastreabilidade!$F$1:$H$1,0)),rastreabilidade!$M:$M,$N9),0))
+IF($O9="",0,IFERROR(SUMIFS(INDEX(rastreabilidade!$F:$H,0,MATCH(F$3,rastreabilidade!$F$1:$H$1,0)),rastreabilidade!$M:$M,$O9),0))
+IF($P9="",0,IFERROR(SUMIFS(INDEX(rastreabilidade!$F:$H,0,MATCH(F$3,rastreabilidade!$F$1:$H$1,0)),rastreabilidade!$M:$M,$P9),0))
+IF($Q9="",0,IFERROR(SUMIFS(INDEX(rastreabilidade!$F:$H,0,MATCH(F$3,rastreabilidade!$F$1:$H$1,0)),rastreabilidade!$M:$M,$Q9),0))
-IF($J9="",0,IFERROR(SUMIFS(INDEX(rastreabilidade!$F:$H,0,MATCH(F$3,rastreabilidade!$F$1:$H$1,0)),rastreabilidade!$M:$M,$J9,rastreabilidade!$N:$N,$AM9),0))
-IF($K9="",0,IFERROR(SUMIFS(INDEX(rastreabilidade!$F:$H,0,MATCH(F$3,rastreabilidade!$F$1:$H$1,0)),rastreabilidade!$M:$M,$K9,rastreabilidade!$N:$N,$AM9),0))
-IF($L9="",0,IFERROR(SUMIFS(INDEX(rastreabilidade!$F:$H,0,MATCH(F$3,rastreabilidade!$F$1:$H$1,0)),rastreabilidade!$M:$M,$L9,rastreabilidade!$N:$N,$AM9),0))
-IF($M9="",0,IFERROR(SUMIFS(INDEX(rastreabilidade!$F:$H,0,MATCH(F$3,rastreabilidade!$F$1:$H$1,0)),rastreabilidade!$M:$M,$M9,rastreabilidade!$N:$N,$AM9),0))</f>
        <v>0</v>
      </c>
      <c r="G9" s="120">
        <f>IFERROR(SUMIFS(INDEX(rastreabilidade!$F:$H,0,MATCH(G$3,rastreabilidade!$F$1:$H$1,0)),rastreabilidade!$N:$N,$AM9),0)
+IF($N9="",0,IFERROR(SUMIFS(INDEX(rastreabilidade!$F:$H,0,MATCH(G$3,rastreabilidade!$F$1:$H$1,0)),rastreabilidade!$M:$M,$N9),0))
+IF($O9="",0,IFERROR(SUMIFS(INDEX(rastreabilidade!$F:$H,0,MATCH(G$3,rastreabilidade!$F$1:$H$1,0)),rastreabilidade!$M:$M,$O9),0))
+IF($P9="",0,IFERROR(SUMIFS(INDEX(rastreabilidade!$F:$H,0,MATCH(G$3,rastreabilidade!$F$1:$H$1,0)),rastreabilidade!$M:$M,$P9),0))
+IF($Q9="",0,IFERROR(SUMIFS(INDEX(rastreabilidade!$F:$H,0,MATCH(G$3,rastreabilidade!$F$1:$H$1,0)),rastreabilidade!$M:$M,$Q9),0))
-IF($J9="",0,IFERROR(SUMIFS(INDEX(rastreabilidade!$F:$H,0,MATCH(G$3,rastreabilidade!$F$1:$H$1,0)),rastreabilidade!$M:$M,$J9,rastreabilidade!$N:$N,$AM9),0))
-IF($K9="",0,IFERROR(SUMIFS(INDEX(rastreabilidade!$F:$H,0,MATCH(G$3,rastreabilidade!$F$1:$H$1,0)),rastreabilidade!$M:$M,$K9,rastreabilidade!$N:$N,$AM9),0))
-IF($L9="",0,IFERROR(SUMIFS(INDEX(rastreabilidade!$F:$H,0,MATCH(G$3,rastreabilidade!$F$1:$H$1,0)),rastreabilidade!$M:$M,$L9,rastreabilidade!$N:$N,$AM9),0))
-IF($M9="",0,IFERROR(SUMIFS(INDEX(rastreabilidade!$F:$H,0,MATCH(G$3,rastreabilidade!$F$1:$H$1,0)),rastreabilidade!$M:$M,$M9,rastreabilidade!$N:$N,$AM9),0))</f>
        <v>0</v>
      </c>
      <c r="H9" s="40"/>
      <c r="I9" s="155" t="str" cm="1">
        <f t="array" ref="I9">_xlfn.LET(
_xlpm.mem,H9,
_xlpm.retiradas,J9:M9,
_xlpm.adicoes,N9:Q9,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9" s="54"/>
      <c r="K9" s="54"/>
      <c r="L9" s="54"/>
      <c r="M9" s="54"/>
      <c r="N9" s="58"/>
      <c r="O9" s="58"/>
      <c r="P9" s="58"/>
      <c r="Q9" s="108"/>
      <c r="R9" s="4"/>
      <c r="S9" s="90" t="s">
        <v>28</v>
      </c>
      <c r="T9" s="14">
        <f>+T7-T8</f>
        <v>0</v>
      </c>
      <c r="U9" s="51"/>
      <c r="V9" s="4"/>
      <c r="W9" s="159">
        <f>+W7-W8</f>
        <v>0</v>
      </c>
      <c r="X9" s="159">
        <f>+X7-X8</f>
        <v>0</v>
      </c>
      <c r="Y9" s="159">
        <f>+Y7-Y8</f>
        <v>0</v>
      </c>
      <c r="Z9" s="47"/>
      <c r="AA9" s="51"/>
      <c r="AB9" s="115"/>
      <c r="AC9" s="51"/>
      <c r="AD9" s="51"/>
      <c r="AE9" s="51"/>
      <c r="AF9" s="51"/>
      <c r="AG9" s="51"/>
      <c r="AH9" s="51"/>
      <c r="AI9" s="51"/>
      <c r="AJ9" s="105"/>
      <c r="AL9" s="5"/>
      <c r="AM9" s="5" t="str">
        <f t="shared" si="0"/>
        <v>Clientes - Grupo|Ativo|Circulante</v>
      </c>
      <c r="AN9" s="5" t="str">
        <f t="shared" si="1"/>
        <v>Resultado Bruto|DRE|DRE</v>
      </c>
      <c r="AO9" s="5"/>
      <c r="AP9" s="5"/>
      <c r="AQ9" s="6"/>
      <c r="AR9" s="7"/>
      <c r="AS9" s="7"/>
      <c r="AT9" s="7"/>
    </row>
    <row r="10" spans="1:46" ht="35.1" customHeight="1" x14ac:dyDescent="0.25">
      <c r="A10" s="78" t="s">
        <v>29</v>
      </c>
      <c r="B10" s="121">
        <f>IFERROR(SUMIFS(INDEX(rastreabilidade!$F:$H,0,MATCH($B$2,rastreabilidade!$F$1:$H$1,0)),rastreabilidade!$K:$K,$A10,rastreabilidade!$D:$D,"Sim"),0)</f>
        <v>0</v>
      </c>
      <c r="C10" s="35"/>
      <c r="D10" s="4"/>
      <c r="E10" s="121">
        <f>IFERROR(SUMIFS(INDEX(rastreabilidade!$F:$H,0,MATCH(E$3,rastreabilidade!$F$1:$H$1,0)),rastreabilidade!$N:$N,$AM10),0)
+IF($N10="",0,IFERROR(SUMIFS(INDEX(rastreabilidade!$F:$H,0,MATCH(E$3,rastreabilidade!$F$1:$H$1,0)),rastreabilidade!$M:$M,$N10),0))
+IF($O10="",0,IFERROR(SUMIFS(INDEX(rastreabilidade!$F:$H,0,MATCH(E$3,rastreabilidade!$F$1:$H$1,0)),rastreabilidade!$M:$M,$O10),0))
+IF($P10="",0,IFERROR(SUMIFS(INDEX(rastreabilidade!$F:$H,0,MATCH(E$3,rastreabilidade!$F$1:$H$1,0)),rastreabilidade!$M:$M,$P10),0))
+IF($Q10="",0,IFERROR(SUMIFS(INDEX(rastreabilidade!$F:$H,0,MATCH(E$3,rastreabilidade!$F$1:$H$1,0)),rastreabilidade!$M:$M,$Q10),0))
-IF($J10="",0,IFERROR(SUMIFS(INDEX(rastreabilidade!$F:$H,0,MATCH(E$3,rastreabilidade!$F$1:$H$1,0)),rastreabilidade!$M:$M,$J10,rastreabilidade!$N:$N,$AM10),0))
-IF($K10="",0,IFERROR(SUMIFS(INDEX(rastreabilidade!$F:$H,0,MATCH(E$3,rastreabilidade!$F$1:$H$1,0)),rastreabilidade!$M:$M,$K10,rastreabilidade!$N:$N,$AM10),0))
-IF($L10="",0,IFERROR(SUMIFS(INDEX(rastreabilidade!$F:$H,0,MATCH(E$3,rastreabilidade!$F$1:$H$1,0)),rastreabilidade!$M:$M,$L10,rastreabilidade!$N:$N,$AM10),0))
-IF($M10="",0,IFERROR(SUMIFS(INDEX(rastreabilidade!$F:$H,0,MATCH(E$3,rastreabilidade!$F$1:$H$1,0)),rastreabilidade!$M:$M,$M10,rastreabilidade!$N:$N,$AM10),0))</f>
        <v>0</v>
      </c>
      <c r="F10" s="121">
        <f>IFERROR(SUMIFS(INDEX(rastreabilidade!$F:$H,0,MATCH(F$3,rastreabilidade!$F$1:$H$1,0)),rastreabilidade!$N:$N,$AM10),0)
+IF($N10="",0,IFERROR(SUMIFS(INDEX(rastreabilidade!$F:$H,0,MATCH(F$3,rastreabilidade!$F$1:$H$1,0)),rastreabilidade!$M:$M,$N10),0))
+IF($O10="",0,IFERROR(SUMIFS(INDEX(rastreabilidade!$F:$H,0,MATCH(F$3,rastreabilidade!$F$1:$H$1,0)),rastreabilidade!$M:$M,$O10),0))
+IF($P10="",0,IFERROR(SUMIFS(INDEX(rastreabilidade!$F:$H,0,MATCH(F$3,rastreabilidade!$F$1:$H$1,0)),rastreabilidade!$M:$M,$P10),0))
+IF($Q10="",0,IFERROR(SUMIFS(INDEX(rastreabilidade!$F:$H,0,MATCH(F$3,rastreabilidade!$F$1:$H$1,0)),rastreabilidade!$M:$M,$Q10),0))
-IF($J10="",0,IFERROR(SUMIFS(INDEX(rastreabilidade!$F:$H,0,MATCH(F$3,rastreabilidade!$F$1:$H$1,0)),rastreabilidade!$M:$M,$J10,rastreabilidade!$N:$N,$AM10),0))
-IF($K10="",0,IFERROR(SUMIFS(INDEX(rastreabilidade!$F:$H,0,MATCH(F$3,rastreabilidade!$F$1:$H$1,0)),rastreabilidade!$M:$M,$K10,rastreabilidade!$N:$N,$AM10),0))
-IF($L10="",0,IFERROR(SUMIFS(INDEX(rastreabilidade!$F:$H,0,MATCH(F$3,rastreabilidade!$F$1:$H$1,0)),rastreabilidade!$M:$M,$L10,rastreabilidade!$N:$N,$AM10),0))
-IF($M10="",0,IFERROR(SUMIFS(INDEX(rastreabilidade!$F:$H,0,MATCH(F$3,rastreabilidade!$F$1:$H$1,0)),rastreabilidade!$M:$M,$M10,rastreabilidade!$N:$N,$AM10),0))</f>
        <v>0</v>
      </c>
      <c r="G10" s="122">
        <f>IFERROR(SUMIFS(INDEX(rastreabilidade!$F:$H,0,MATCH(G$3,rastreabilidade!$F$1:$H$1,0)),rastreabilidade!$N:$N,$AM10),0)
+IF($N10="",0,IFERROR(SUMIFS(INDEX(rastreabilidade!$F:$H,0,MATCH(G$3,rastreabilidade!$F$1:$H$1,0)),rastreabilidade!$M:$M,$N10),0))
+IF($O10="",0,IFERROR(SUMIFS(INDEX(rastreabilidade!$F:$H,0,MATCH(G$3,rastreabilidade!$F$1:$H$1,0)),rastreabilidade!$M:$M,$O10),0))
+IF($P10="",0,IFERROR(SUMIFS(INDEX(rastreabilidade!$F:$H,0,MATCH(G$3,rastreabilidade!$F$1:$H$1,0)),rastreabilidade!$M:$M,$P10),0))
+IF($Q10="",0,IFERROR(SUMIFS(INDEX(rastreabilidade!$F:$H,0,MATCH(G$3,rastreabilidade!$F$1:$H$1,0)),rastreabilidade!$M:$M,$Q10),0))
-IF($J10="",0,IFERROR(SUMIFS(INDEX(rastreabilidade!$F:$H,0,MATCH(G$3,rastreabilidade!$F$1:$H$1,0)),rastreabilidade!$M:$M,$J10,rastreabilidade!$N:$N,$AM10),0))
-IF($K10="",0,IFERROR(SUMIFS(INDEX(rastreabilidade!$F:$H,0,MATCH(G$3,rastreabilidade!$F$1:$H$1,0)),rastreabilidade!$M:$M,$K10,rastreabilidade!$N:$N,$AM10),0))
-IF($L10="",0,IFERROR(SUMIFS(INDEX(rastreabilidade!$F:$H,0,MATCH(G$3,rastreabilidade!$F$1:$H$1,0)),rastreabilidade!$M:$M,$L10,rastreabilidade!$N:$N,$AM10),0))
-IF($M10="",0,IFERROR(SUMIFS(INDEX(rastreabilidade!$F:$H,0,MATCH(G$3,rastreabilidade!$F$1:$H$1,0)),rastreabilidade!$M:$M,$M10,rastreabilidade!$N:$N,$AM10),0))</f>
        <v>0</v>
      </c>
      <c r="H10" s="40"/>
      <c r="I10" s="155" t="str" cm="1">
        <f t="array" ref="I10">_xlfn.LET(
_xlpm.mem,H10,
_xlpm.retiradas,J10:M10,
_xlpm.adicoes,N10:Q10,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10" s="54"/>
      <c r="K10" s="54"/>
      <c r="L10" s="54"/>
      <c r="M10" s="54"/>
      <c r="N10" s="58"/>
      <c r="O10" s="58"/>
      <c r="P10" s="58"/>
      <c r="Q10" s="108"/>
      <c r="R10" s="4"/>
      <c r="S10" s="97" t="s">
        <v>30</v>
      </c>
      <c r="T10" s="11">
        <f>IFERROR(SUMIFS(INDEX(rastreabilidade!$F:$H,0,MATCH($T$2,rastreabilidade!$F$1:$H$1,0)),rastreabilidade!$K:$K,$S10,rastreabilidade!$D:$D,"Sim"),0)</f>
        <v>0</v>
      </c>
      <c r="U10" s="35"/>
      <c r="V10" s="4"/>
      <c r="W10" s="156">
        <f>IFERROR(SUMIFS(INDEX(rastreabilidade!$F:$H,0,MATCH(W$3,rastreabilidade!$F$1:$H$1,0)),rastreabilidade!$N:$N,$AN10),0)*IF($AB10="sim",-1,1)
+IF($AG10="",0,IFERROR(SUMIFS(INDEX(rastreabilidade!$F:$H,0,MATCH(W$3,rastreabilidade!$F$1:$H$1,0)),rastreabilidade!$M:$M,$AG10),0))
+IF($AH10="",0,IFERROR(SUMIFS(INDEX(rastreabilidade!$F:$H,0,MATCH(W$3,rastreabilidade!$F$1:$H$1,0)),rastreabilidade!$M:$M,$AH10),0))
+IF($AI10="",0,IFERROR(SUMIFS(INDEX(rastreabilidade!$F:$H,0,MATCH(W$3,rastreabilidade!$F$1:$H$1,0)),rastreabilidade!$M:$M,$AI10),0))
+IF($AJ10="",0,IFERROR(SUMIFS(INDEX(rastreabilidade!$F:$H,0,MATCH(W$3,rastreabilidade!$F$1:$H$1,0)),rastreabilidade!$M:$M,$AJ10),0))
-IF($AC10="",0,IFERROR(SUMIFS(INDEX(rastreabilidade!$F:$H,0,MATCH(W$3,rastreabilidade!$F$1:$H$1,0)),rastreabilidade!$M:$M,$AC10,rastreabilidade!$N:$N,$AN10),0))
-IF($AD10="",0,IFERROR(SUMIFS(INDEX(rastreabilidade!$F:$H,0,MATCH(W$3,rastreabilidade!$F$1:$H$1,0)),rastreabilidade!$M:$M,$AD10,rastreabilidade!$N:$N,$AN10),0))
-IF($AE10="",0,IFERROR(SUMIFS(INDEX(rastreabilidade!$F:$H,0,MATCH(W$3,rastreabilidade!$F$1:$H$1,0)),rastreabilidade!$M:$M,$AE10,rastreabilidade!$N:$N,$AN10),0))
-IF($AF10="",0,IFERROR(SUMIFS(INDEX(rastreabilidade!$F:$H,0,MATCH(W$3,rastreabilidade!$F$1:$H$1,0)),rastreabilidade!$M:$M,$AF10,rastreabilidade!$N:$N,$AN10),0))</f>
        <v>0</v>
      </c>
      <c r="X10" s="156">
        <f>IFERROR(SUMIFS(INDEX(rastreabilidade!$F:$H,0,MATCH(X$3,rastreabilidade!$F$1:$H$1,0)),rastreabilidade!$N:$N,$AN10),0)*IF($AB10="sim",-1,1)
+IF($AG10="",0,IFERROR(SUMIFS(INDEX(rastreabilidade!$F:$H,0,MATCH(X$3,rastreabilidade!$F$1:$H$1,0)),rastreabilidade!$M:$M,$AG10),0))
+IF($AH10="",0,IFERROR(SUMIFS(INDEX(rastreabilidade!$F:$H,0,MATCH(X$3,rastreabilidade!$F$1:$H$1,0)),rastreabilidade!$M:$M,$AH10),0))
+IF($AI10="",0,IFERROR(SUMIFS(INDEX(rastreabilidade!$F:$H,0,MATCH(X$3,rastreabilidade!$F$1:$H$1,0)),rastreabilidade!$M:$M,$AI10),0))
+IF($AJ10="",0,IFERROR(SUMIFS(INDEX(rastreabilidade!$F:$H,0,MATCH(X$3,rastreabilidade!$F$1:$H$1,0)),rastreabilidade!$M:$M,$AJ10),0))
-IF($AC10="",0,IFERROR(SUMIFS(INDEX(rastreabilidade!$F:$H,0,MATCH(X$3,rastreabilidade!$F$1:$H$1,0)),rastreabilidade!$M:$M,$AC10,rastreabilidade!$N:$N,$AN10),0))
-IF($AD10="",0,IFERROR(SUMIFS(INDEX(rastreabilidade!$F:$H,0,MATCH(X$3,rastreabilidade!$F$1:$H$1,0)),rastreabilidade!$M:$M,$AD10,rastreabilidade!$N:$N,$AN10),0))
-IF($AE10="",0,IFERROR(SUMIFS(INDEX(rastreabilidade!$F:$H,0,MATCH(X$3,rastreabilidade!$F$1:$H$1,0)),rastreabilidade!$M:$M,$AE10,rastreabilidade!$N:$N,$AN10),0))
-IF($AF10="",0,IFERROR(SUMIFS(INDEX(rastreabilidade!$F:$H,0,MATCH(X$3,rastreabilidade!$F$1:$H$1,0)),rastreabilidade!$M:$M,$AF10,rastreabilidade!$N:$N,$AN10),0))</f>
        <v>0</v>
      </c>
      <c r="Y10" s="156">
        <f>IFERROR(SUMIFS(INDEX(rastreabilidade!$F:$H,0,MATCH(Y$3,rastreabilidade!$F$1:$H$1,0)),rastreabilidade!$N:$N,$AN10),0)*IF($AB10="sim",-1,1)
+IF($AG10="",0,IFERROR(SUMIFS(INDEX(rastreabilidade!$F:$H,0,MATCH(Y$3,rastreabilidade!$F$1:$H$1,0)),rastreabilidade!$M:$M,$AG10),0))
+IF($AH10="",0,IFERROR(SUMIFS(INDEX(rastreabilidade!$F:$H,0,MATCH(Y$3,rastreabilidade!$F$1:$H$1,0)),rastreabilidade!$M:$M,$AH10),0))
+IF($AI10="",0,IFERROR(SUMIFS(INDEX(rastreabilidade!$F:$H,0,MATCH(Y$3,rastreabilidade!$F$1:$H$1,0)),rastreabilidade!$M:$M,$AI10),0))
+IF($AJ10="",0,IFERROR(SUMIFS(INDEX(rastreabilidade!$F:$H,0,MATCH(Y$3,rastreabilidade!$F$1:$H$1,0)),rastreabilidade!$M:$M,$AJ10),0))
-IF($AC10="",0,IFERROR(SUMIFS(INDEX(rastreabilidade!$F:$H,0,MATCH(Y$3,rastreabilidade!$F$1:$H$1,0)),rastreabilidade!$M:$M,$AC10,rastreabilidade!$N:$N,$AN10),0))
-IF($AD10="",0,IFERROR(SUMIFS(INDEX(rastreabilidade!$F:$H,0,MATCH(Y$3,rastreabilidade!$F$1:$H$1,0)),rastreabilidade!$M:$M,$AD10,rastreabilidade!$N:$N,$AN10),0))
-IF($AE10="",0,IFERROR(SUMIFS(INDEX(rastreabilidade!$F:$H,0,MATCH(Y$3,rastreabilidade!$F$1:$H$1,0)),rastreabilidade!$M:$M,$AE10,rastreabilidade!$N:$N,$AN10),0))
-IF($AF10="",0,IFERROR(SUMIFS(INDEX(rastreabilidade!$F:$H,0,MATCH(Y$3,rastreabilidade!$F$1:$H$1,0)),rastreabilidade!$M:$M,$AF10,rastreabilidade!$N:$N,$AN10),0))</f>
        <v>0</v>
      </c>
      <c r="Z10" s="36"/>
      <c r="AA10" s="177" t="str" cm="1">
        <f t="array" ref="AA10">_xlfn.LET(
_xlpm.mem,Z10,
_xlpm.retiradas,AC10:AF10,
_xlpm.adicoes,AG10:AJ10,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10" s="114"/>
      <c r="AC10" s="54"/>
      <c r="AD10" s="54"/>
      <c r="AE10" s="54"/>
      <c r="AF10" s="54"/>
      <c r="AG10" s="58"/>
      <c r="AH10" s="58"/>
      <c r="AI10" s="58"/>
      <c r="AJ10" s="108"/>
      <c r="AL10" s="5"/>
      <c r="AM10" s="5" t="str">
        <f t="shared" si="0"/>
        <v>-PDD|Ativo|Circulante</v>
      </c>
      <c r="AN10" s="5" t="str">
        <f t="shared" si="1"/>
        <v>- Despesas com Vendas|DRE|DRE</v>
      </c>
      <c r="AO10" s="5"/>
      <c r="AP10" s="5"/>
      <c r="AQ10" s="6"/>
      <c r="AR10" s="7"/>
      <c r="AS10" s="7"/>
      <c r="AT10" s="7"/>
    </row>
    <row r="11" spans="1:46" ht="35.1" customHeight="1" x14ac:dyDescent="0.25">
      <c r="A11" s="79" t="s">
        <v>31</v>
      </c>
      <c r="B11" s="123">
        <f>+B8+B9-B10</f>
        <v>0</v>
      </c>
      <c r="C11" s="39"/>
      <c r="D11" s="4"/>
      <c r="E11" s="123">
        <f>+E8+E9-E10</f>
        <v>0</v>
      </c>
      <c r="F11" s="123">
        <f>+F8+F9-F10</f>
        <v>0</v>
      </c>
      <c r="G11" s="124">
        <f>+G8+G9-G10</f>
        <v>0</v>
      </c>
      <c r="H11" s="37"/>
      <c r="I11" s="39"/>
      <c r="J11" s="38">
        <f>+J8+J9-J10</f>
        <v>0</v>
      </c>
      <c r="K11" s="38"/>
      <c r="L11" s="38"/>
      <c r="M11" s="38"/>
      <c r="N11" s="38"/>
      <c r="O11" s="38"/>
      <c r="P11" s="38"/>
      <c r="Q11" s="38">
        <f>+Q8+Q9-Q10</f>
        <v>0</v>
      </c>
      <c r="R11" s="4"/>
      <c r="S11" s="98" t="s">
        <v>32</v>
      </c>
      <c r="T11" s="12">
        <f>IFERROR(SUMIFS(INDEX(rastreabilidade!$F:$H,0,MATCH($T$2,rastreabilidade!$F$1:$H$1,0)),rastreabilidade!$K:$K,$S11,rastreabilidade!$D:$D,"Sim"),0)</f>
        <v>0</v>
      </c>
      <c r="U11" s="35"/>
      <c r="V11" s="4"/>
      <c r="W11" s="158">
        <f>IFERROR(SUMIFS(INDEX(rastreabilidade!$F:$H,0,MATCH(W$3,rastreabilidade!$F$1:$H$1,0)),rastreabilidade!$N:$N,$AN11),0)*IF($AB11="sim",-1,1)
+IF($AG11="",0,IFERROR(SUMIFS(INDEX(rastreabilidade!$F:$H,0,MATCH(W$3,rastreabilidade!$F$1:$H$1,0)),rastreabilidade!$M:$M,$AG11),0))
+IF($AH11="",0,IFERROR(SUMIFS(INDEX(rastreabilidade!$F:$H,0,MATCH(W$3,rastreabilidade!$F$1:$H$1,0)),rastreabilidade!$M:$M,$AH11),0))
+IF($AI11="",0,IFERROR(SUMIFS(INDEX(rastreabilidade!$F:$H,0,MATCH(W$3,rastreabilidade!$F$1:$H$1,0)),rastreabilidade!$M:$M,$AI11),0))
+IF($AJ11="",0,IFERROR(SUMIFS(INDEX(rastreabilidade!$F:$H,0,MATCH(W$3,rastreabilidade!$F$1:$H$1,0)),rastreabilidade!$M:$M,$AJ11),0))
-IF($AC11="",0,IFERROR(SUMIFS(INDEX(rastreabilidade!$F:$H,0,MATCH(W$3,rastreabilidade!$F$1:$H$1,0)),rastreabilidade!$M:$M,$AC11,rastreabilidade!$N:$N,$AN11),0))
-IF($AD11="",0,IFERROR(SUMIFS(INDEX(rastreabilidade!$F:$H,0,MATCH(W$3,rastreabilidade!$F$1:$H$1,0)),rastreabilidade!$M:$M,$AD11,rastreabilidade!$N:$N,$AN11),0))
-IF($AE11="",0,IFERROR(SUMIFS(INDEX(rastreabilidade!$F:$H,0,MATCH(W$3,rastreabilidade!$F$1:$H$1,0)),rastreabilidade!$M:$M,$AE11,rastreabilidade!$N:$N,$AN11),0))
-IF($AF11="",0,IFERROR(SUMIFS(INDEX(rastreabilidade!$F:$H,0,MATCH(W$3,rastreabilidade!$F$1:$H$1,0)),rastreabilidade!$M:$M,$AF11,rastreabilidade!$N:$N,$AN11),0))</f>
        <v>0</v>
      </c>
      <c r="X11" s="158">
        <f>IFERROR(SUMIFS(INDEX(rastreabilidade!$F:$H,0,MATCH(X$3,rastreabilidade!$F$1:$H$1,0)),rastreabilidade!$N:$N,$AN11),0)*IF($AB11="sim",-1,1)
+IF($AG11="",0,IFERROR(SUMIFS(INDEX(rastreabilidade!$F:$H,0,MATCH(X$3,rastreabilidade!$F$1:$H$1,0)),rastreabilidade!$M:$M,$AG11),0))
+IF($AH11="",0,IFERROR(SUMIFS(INDEX(rastreabilidade!$F:$H,0,MATCH(X$3,rastreabilidade!$F$1:$H$1,0)),rastreabilidade!$M:$M,$AH11),0))
+IF($AI11="",0,IFERROR(SUMIFS(INDEX(rastreabilidade!$F:$H,0,MATCH(X$3,rastreabilidade!$F$1:$H$1,0)),rastreabilidade!$M:$M,$AI11),0))
+IF($AJ11="",0,IFERROR(SUMIFS(INDEX(rastreabilidade!$F:$H,0,MATCH(X$3,rastreabilidade!$F$1:$H$1,0)),rastreabilidade!$M:$M,$AJ11),0))
-IF($AC11="",0,IFERROR(SUMIFS(INDEX(rastreabilidade!$F:$H,0,MATCH(X$3,rastreabilidade!$F$1:$H$1,0)),rastreabilidade!$M:$M,$AC11,rastreabilidade!$N:$N,$AN11),0))
-IF($AD11="",0,IFERROR(SUMIFS(INDEX(rastreabilidade!$F:$H,0,MATCH(X$3,rastreabilidade!$F$1:$H$1,0)),rastreabilidade!$M:$M,$AD11,rastreabilidade!$N:$N,$AN11),0))
-IF($AE11="",0,IFERROR(SUMIFS(INDEX(rastreabilidade!$F:$H,0,MATCH(X$3,rastreabilidade!$F$1:$H$1,0)),rastreabilidade!$M:$M,$AE11,rastreabilidade!$N:$N,$AN11),0))
-IF($AF11="",0,IFERROR(SUMIFS(INDEX(rastreabilidade!$F:$H,0,MATCH(X$3,rastreabilidade!$F$1:$H$1,0)),rastreabilidade!$M:$M,$AF11,rastreabilidade!$N:$N,$AN11),0))</f>
        <v>0</v>
      </c>
      <c r="Y11" s="158">
        <f>IFERROR(SUMIFS(INDEX(rastreabilidade!$F:$H,0,MATCH(Y$3,rastreabilidade!$F$1:$H$1,0)),rastreabilidade!$N:$N,$AN11),0)*IF($AB11="sim",-1,1)
+IF($AG11="",0,IFERROR(SUMIFS(INDEX(rastreabilidade!$F:$H,0,MATCH(Y$3,rastreabilidade!$F$1:$H$1,0)),rastreabilidade!$M:$M,$AG11),0))
+IF($AH11="",0,IFERROR(SUMIFS(INDEX(rastreabilidade!$F:$H,0,MATCH(Y$3,rastreabilidade!$F$1:$H$1,0)),rastreabilidade!$M:$M,$AH11),0))
+IF($AI11="",0,IFERROR(SUMIFS(INDEX(rastreabilidade!$F:$H,0,MATCH(Y$3,rastreabilidade!$F$1:$H$1,0)),rastreabilidade!$M:$M,$AI11),0))
+IF($AJ11="",0,IFERROR(SUMIFS(INDEX(rastreabilidade!$F:$H,0,MATCH(Y$3,rastreabilidade!$F$1:$H$1,0)),rastreabilidade!$M:$M,$AJ11),0))
-IF($AC11="",0,IFERROR(SUMIFS(INDEX(rastreabilidade!$F:$H,0,MATCH(Y$3,rastreabilidade!$F$1:$H$1,0)),rastreabilidade!$M:$M,$AC11,rastreabilidade!$N:$N,$AN11),0))
-IF($AD11="",0,IFERROR(SUMIFS(INDEX(rastreabilidade!$F:$H,0,MATCH(Y$3,rastreabilidade!$F$1:$H$1,0)),rastreabilidade!$M:$M,$AD11,rastreabilidade!$N:$N,$AN11),0))
-IF($AE11="",0,IFERROR(SUMIFS(INDEX(rastreabilidade!$F:$H,0,MATCH(Y$3,rastreabilidade!$F$1:$H$1,0)),rastreabilidade!$M:$M,$AE11,rastreabilidade!$N:$N,$AN11),0))
-IF($AF11="",0,IFERROR(SUMIFS(INDEX(rastreabilidade!$F:$H,0,MATCH(Y$3,rastreabilidade!$F$1:$H$1,0)),rastreabilidade!$M:$M,$AF11,rastreabilidade!$N:$N,$AN11),0))</f>
        <v>0</v>
      </c>
      <c r="Z11" s="47"/>
      <c r="AA11" s="177" t="str" cm="1">
        <f t="array" ref="AA11">_xlfn.LET(
_xlpm.mem,Z11,
_xlpm.retiradas,AC11:AF11,
_xlpm.adicoes,AG11:AJ11,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11" s="114"/>
      <c r="AC11" s="54"/>
      <c r="AD11" s="54"/>
      <c r="AE11" s="54"/>
      <c r="AF11" s="54"/>
      <c r="AG11" s="58"/>
      <c r="AH11" s="58"/>
      <c r="AI11" s="58"/>
      <c r="AJ11" s="108"/>
      <c r="AL11" s="5"/>
      <c r="AM11" s="5" t="str">
        <f t="shared" si="0"/>
        <v>Clientes Líquido|Ativo|Circulante</v>
      </c>
      <c r="AN11" s="5" t="str">
        <f t="shared" si="1"/>
        <v>- Despesas Administrativas|DRE|DRE</v>
      </c>
      <c r="AO11" s="5"/>
      <c r="AP11" s="5"/>
      <c r="AQ11" s="6"/>
      <c r="AR11" s="7"/>
      <c r="AS11" s="7"/>
      <c r="AT11" s="7"/>
    </row>
    <row r="12" spans="1:46" ht="35.1" customHeight="1" x14ac:dyDescent="0.25">
      <c r="A12" s="80" t="s">
        <v>33</v>
      </c>
      <c r="B12" s="121">
        <f>IFERROR(SUMIFS(INDEX(rastreabilidade!$F:$H,0,MATCH($B$2,rastreabilidade!$F$1:$H$1,0)),rastreabilidade!$K:$K,$A12,rastreabilidade!$D:$D,"Sim"),0)</f>
        <v>0</v>
      </c>
      <c r="C12" s="35"/>
      <c r="D12" s="4"/>
      <c r="E12" s="121">
        <f>IFERROR(SUMIFS(INDEX(rastreabilidade!$F:$H,0,MATCH(E$3,rastreabilidade!$F$1:$H$1,0)),rastreabilidade!$N:$N,$AM12),0)
+IF($N12="",0,IFERROR(SUMIFS(INDEX(rastreabilidade!$F:$H,0,MATCH(E$3,rastreabilidade!$F$1:$H$1,0)),rastreabilidade!$M:$M,$N12),0))
+IF($O12="",0,IFERROR(SUMIFS(INDEX(rastreabilidade!$F:$H,0,MATCH(E$3,rastreabilidade!$F$1:$H$1,0)),rastreabilidade!$M:$M,$O12),0))
+IF($P12="",0,IFERROR(SUMIFS(INDEX(rastreabilidade!$F:$H,0,MATCH(E$3,rastreabilidade!$F$1:$H$1,0)),rastreabilidade!$M:$M,$P12),0))
+IF($Q12="",0,IFERROR(SUMIFS(INDEX(rastreabilidade!$F:$H,0,MATCH(E$3,rastreabilidade!$F$1:$H$1,0)),rastreabilidade!$M:$M,$Q12),0))
-IF($J12="",0,IFERROR(SUMIFS(INDEX(rastreabilidade!$F:$H,0,MATCH(E$3,rastreabilidade!$F$1:$H$1,0)),rastreabilidade!$M:$M,$J12,rastreabilidade!$N:$N,$AM12),0))
-IF($K12="",0,IFERROR(SUMIFS(INDEX(rastreabilidade!$F:$H,0,MATCH(E$3,rastreabilidade!$F$1:$H$1,0)),rastreabilidade!$M:$M,$K12,rastreabilidade!$N:$N,$AM12),0))
-IF($L12="",0,IFERROR(SUMIFS(INDEX(rastreabilidade!$F:$H,0,MATCH(E$3,rastreabilidade!$F$1:$H$1,0)),rastreabilidade!$M:$M,$L12,rastreabilidade!$N:$N,$AM12),0))
-IF($M12="",0,IFERROR(SUMIFS(INDEX(rastreabilidade!$F:$H,0,MATCH(E$3,rastreabilidade!$F$1:$H$1,0)),rastreabilidade!$M:$M,$M12,rastreabilidade!$N:$N,$AM12),0))</f>
        <v>0</v>
      </c>
      <c r="F12" s="121">
        <f>IFERROR(SUMIFS(INDEX(rastreabilidade!$F:$H,0,MATCH(F$3,rastreabilidade!$F$1:$H$1,0)),rastreabilidade!$N:$N,$AM12),0)
+IF($N12="",0,IFERROR(SUMIFS(INDEX(rastreabilidade!$F:$H,0,MATCH(F$3,rastreabilidade!$F$1:$H$1,0)),rastreabilidade!$M:$M,$N12),0))
+IF($O12="",0,IFERROR(SUMIFS(INDEX(rastreabilidade!$F:$H,0,MATCH(F$3,rastreabilidade!$F$1:$H$1,0)),rastreabilidade!$M:$M,$O12),0))
+IF($P12="",0,IFERROR(SUMIFS(INDEX(rastreabilidade!$F:$H,0,MATCH(F$3,rastreabilidade!$F$1:$H$1,0)),rastreabilidade!$M:$M,$P12),0))
+IF($Q12="",0,IFERROR(SUMIFS(INDEX(rastreabilidade!$F:$H,0,MATCH(F$3,rastreabilidade!$F$1:$H$1,0)),rastreabilidade!$M:$M,$Q12),0))
-IF($J12="",0,IFERROR(SUMIFS(INDEX(rastreabilidade!$F:$H,0,MATCH(F$3,rastreabilidade!$F$1:$H$1,0)),rastreabilidade!$M:$M,$J12,rastreabilidade!$N:$N,$AM12),0))
-IF($K12="",0,IFERROR(SUMIFS(INDEX(rastreabilidade!$F:$H,0,MATCH(F$3,rastreabilidade!$F$1:$H$1,0)),rastreabilidade!$M:$M,$K12,rastreabilidade!$N:$N,$AM12),0))
-IF($L12="",0,IFERROR(SUMIFS(INDEX(rastreabilidade!$F:$H,0,MATCH(F$3,rastreabilidade!$F$1:$H$1,0)),rastreabilidade!$M:$M,$L12,rastreabilidade!$N:$N,$AM12),0))
-IF($M12="",0,IFERROR(SUMIFS(INDEX(rastreabilidade!$F:$H,0,MATCH(F$3,rastreabilidade!$F$1:$H$1,0)),rastreabilidade!$M:$M,$M12,rastreabilidade!$N:$N,$AM12),0))</f>
        <v>0</v>
      </c>
      <c r="G12" s="122">
        <f>IFERROR(SUMIFS(INDEX(rastreabilidade!$F:$H,0,MATCH(G$3,rastreabilidade!$F$1:$H$1,0)),rastreabilidade!$N:$N,$AM12),0)
+IF($N12="",0,IFERROR(SUMIFS(INDEX(rastreabilidade!$F:$H,0,MATCH(G$3,rastreabilidade!$F$1:$H$1,0)),rastreabilidade!$M:$M,$N12),0))
+IF($O12="",0,IFERROR(SUMIFS(INDEX(rastreabilidade!$F:$H,0,MATCH(G$3,rastreabilidade!$F$1:$H$1,0)),rastreabilidade!$M:$M,$O12),0))
+IF($P12="",0,IFERROR(SUMIFS(INDEX(rastreabilidade!$F:$H,0,MATCH(G$3,rastreabilidade!$F$1:$H$1,0)),rastreabilidade!$M:$M,$P12),0))
+IF($Q12="",0,IFERROR(SUMIFS(INDEX(rastreabilidade!$F:$H,0,MATCH(G$3,rastreabilidade!$F$1:$H$1,0)),rastreabilidade!$M:$M,$Q12),0))
-IF($J12="",0,IFERROR(SUMIFS(INDEX(rastreabilidade!$F:$H,0,MATCH(G$3,rastreabilidade!$F$1:$H$1,0)),rastreabilidade!$M:$M,$J12,rastreabilidade!$N:$N,$AM12),0))
-IF($K12="",0,IFERROR(SUMIFS(INDEX(rastreabilidade!$F:$H,0,MATCH(G$3,rastreabilidade!$F$1:$H$1,0)),rastreabilidade!$M:$M,$K12,rastreabilidade!$N:$N,$AM12),0))
-IF($L12="",0,IFERROR(SUMIFS(INDEX(rastreabilidade!$F:$H,0,MATCH(G$3,rastreabilidade!$F$1:$H$1,0)),rastreabilidade!$M:$M,$L12,rastreabilidade!$N:$N,$AM12),0))
-IF($M12="",0,IFERROR(SUMIFS(INDEX(rastreabilidade!$F:$H,0,MATCH(G$3,rastreabilidade!$F$1:$H$1,0)),rastreabilidade!$M:$M,$M12,rastreabilidade!$N:$N,$AM12),0))</f>
        <v>0</v>
      </c>
      <c r="H12" s="40"/>
      <c r="I12" s="155" t="str" cm="1">
        <f t="array" ref="I12">_xlfn.LET(
_xlpm.mem,H12,
_xlpm.retiradas,J12:M12,
_xlpm.adicoes,N12:Q12,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12" s="54"/>
      <c r="K12" s="54"/>
      <c r="L12" s="54"/>
      <c r="M12" s="54"/>
      <c r="N12" s="58"/>
      <c r="O12" s="58"/>
      <c r="P12" s="58"/>
      <c r="Q12" s="108"/>
      <c r="R12" s="4"/>
      <c r="S12" s="90" t="s">
        <v>34</v>
      </c>
      <c r="T12" s="14">
        <f>T9-T10-T11</f>
        <v>0</v>
      </c>
      <c r="U12" s="51"/>
      <c r="V12" s="4"/>
      <c r="W12" s="159">
        <f>W9-W10-W11</f>
        <v>0</v>
      </c>
      <c r="X12" s="159">
        <f>X9-X10-X11</f>
        <v>0</v>
      </c>
      <c r="Y12" s="159">
        <f>Y9-Y10-Y11</f>
        <v>0</v>
      </c>
      <c r="Z12" s="47"/>
      <c r="AA12" s="51"/>
      <c r="AB12" s="115"/>
      <c r="AC12" s="51"/>
      <c r="AD12" s="51"/>
      <c r="AE12" s="51"/>
      <c r="AF12" s="51"/>
      <c r="AG12" s="51"/>
      <c r="AH12" s="51"/>
      <c r="AI12" s="51"/>
      <c r="AJ12" s="105"/>
      <c r="AL12" s="5"/>
      <c r="AM12" s="5" t="str">
        <f t="shared" si="0"/>
        <v>Matéria-Prima|Ativo|Circulante</v>
      </c>
      <c r="AN12" s="5" t="str">
        <f t="shared" si="1"/>
        <v>Resultado da Exploração |DRE|DRE</v>
      </c>
      <c r="AO12" s="5"/>
      <c r="AP12" s="5"/>
      <c r="AQ12" s="6"/>
      <c r="AR12" s="7"/>
      <c r="AS12" s="7"/>
      <c r="AT12" s="7"/>
    </row>
    <row r="13" spans="1:46" ht="35.1" customHeight="1" x14ac:dyDescent="0.25">
      <c r="A13" s="80" t="s">
        <v>35</v>
      </c>
      <c r="B13" s="121">
        <f>IFERROR(SUMIFS(INDEX(rastreabilidade!$F:$H,0,MATCH($B$2,rastreabilidade!$F$1:$H$1,0)),rastreabilidade!$K:$K,$A13,rastreabilidade!$D:$D,"Sim"),0)</f>
        <v>0</v>
      </c>
      <c r="C13" s="35"/>
      <c r="D13" s="4"/>
      <c r="E13" s="121">
        <f>IFERROR(SUMIFS(INDEX(rastreabilidade!$F:$H,0,MATCH(E$3,rastreabilidade!$F$1:$H$1,0)),rastreabilidade!$N:$N,$AM13),0)
+IF($N13="",0,IFERROR(SUMIFS(INDEX(rastreabilidade!$F:$H,0,MATCH(E$3,rastreabilidade!$F$1:$H$1,0)),rastreabilidade!$M:$M,$N13),0))
+IF($O13="",0,IFERROR(SUMIFS(INDEX(rastreabilidade!$F:$H,0,MATCH(E$3,rastreabilidade!$F$1:$H$1,0)),rastreabilidade!$M:$M,$O13),0))
+IF($P13="",0,IFERROR(SUMIFS(INDEX(rastreabilidade!$F:$H,0,MATCH(E$3,rastreabilidade!$F$1:$H$1,0)),rastreabilidade!$M:$M,$P13),0))
+IF($Q13="",0,IFERROR(SUMIFS(INDEX(rastreabilidade!$F:$H,0,MATCH(E$3,rastreabilidade!$F$1:$H$1,0)),rastreabilidade!$M:$M,$Q13),0))
-IF($J13="",0,IFERROR(SUMIFS(INDEX(rastreabilidade!$F:$H,0,MATCH(E$3,rastreabilidade!$F$1:$H$1,0)),rastreabilidade!$M:$M,$J13,rastreabilidade!$N:$N,$AM13),0))
-IF($K13="",0,IFERROR(SUMIFS(INDEX(rastreabilidade!$F:$H,0,MATCH(E$3,rastreabilidade!$F$1:$H$1,0)),rastreabilidade!$M:$M,$K13,rastreabilidade!$N:$N,$AM13),0))
-IF($L13="",0,IFERROR(SUMIFS(INDEX(rastreabilidade!$F:$H,0,MATCH(E$3,rastreabilidade!$F$1:$H$1,0)),rastreabilidade!$M:$M,$L13,rastreabilidade!$N:$N,$AM13),0))
-IF($M13="",0,IFERROR(SUMIFS(INDEX(rastreabilidade!$F:$H,0,MATCH(E$3,rastreabilidade!$F$1:$H$1,0)),rastreabilidade!$M:$M,$M13,rastreabilidade!$N:$N,$AM13),0))</f>
        <v>0</v>
      </c>
      <c r="F13" s="121">
        <f>IFERROR(SUMIFS(INDEX(rastreabilidade!$F:$H,0,MATCH(F$3,rastreabilidade!$F$1:$H$1,0)),rastreabilidade!$N:$N,$AM13),0)
+IF($N13="",0,IFERROR(SUMIFS(INDEX(rastreabilidade!$F:$H,0,MATCH(F$3,rastreabilidade!$F$1:$H$1,0)),rastreabilidade!$M:$M,$N13),0))
+IF($O13="",0,IFERROR(SUMIFS(INDEX(rastreabilidade!$F:$H,0,MATCH(F$3,rastreabilidade!$F$1:$H$1,0)),rastreabilidade!$M:$M,$O13),0))
+IF($P13="",0,IFERROR(SUMIFS(INDEX(rastreabilidade!$F:$H,0,MATCH(F$3,rastreabilidade!$F$1:$H$1,0)),rastreabilidade!$M:$M,$P13),0))
+IF($Q13="",0,IFERROR(SUMIFS(INDEX(rastreabilidade!$F:$H,0,MATCH(F$3,rastreabilidade!$F$1:$H$1,0)),rastreabilidade!$M:$M,$Q13),0))
-IF($J13="",0,IFERROR(SUMIFS(INDEX(rastreabilidade!$F:$H,0,MATCH(F$3,rastreabilidade!$F$1:$H$1,0)),rastreabilidade!$M:$M,$J13,rastreabilidade!$N:$N,$AM13),0))
-IF($K13="",0,IFERROR(SUMIFS(INDEX(rastreabilidade!$F:$H,0,MATCH(F$3,rastreabilidade!$F$1:$H$1,0)),rastreabilidade!$M:$M,$K13,rastreabilidade!$N:$N,$AM13),0))
-IF($L13="",0,IFERROR(SUMIFS(INDEX(rastreabilidade!$F:$H,0,MATCH(F$3,rastreabilidade!$F$1:$H$1,0)),rastreabilidade!$M:$M,$L13,rastreabilidade!$N:$N,$AM13),0))
-IF($M13="",0,IFERROR(SUMIFS(INDEX(rastreabilidade!$F:$H,0,MATCH(F$3,rastreabilidade!$F$1:$H$1,0)),rastreabilidade!$M:$M,$M13,rastreabilidade!$N:$N,$AM13),0))</f>
        <v>0</v>
      </c>
      <c r="G13" s="122">
        <f>IFERROR(SUMIFS(INDEX(rastreabilidade!$F:$H,0,MATCH(G$3,rastreabilidade!$F$1:$H$1,0)),rastreabilidade!$N:$N,$AM13),0)
+IF($N13="",0,IFERROR(SUMIFS(INDEX(rastreabilidade!$F:$H,0,MATCH(G$3,rastreabilidade!$F$1:$H$1,0)),rastreabilidade!$M:$M,$N13),0))
+IF($O13="",0,IFERROR(SUMIFS(INDEX(rastreabilidade!$F:$H,0,MATCH(G$3,rastreabilidade!$F$1:$H$1,0)),rastreabilidade!$M:$M,$O13),0))
+IF($P13="",0,IFERROR(SUMIFS(INDEX(rastreabilidade!$F:$H,0,MATCH(G$3,rastreabilidade!$F$1:$H$1,0)),rastreabilidade!$M:$M,$P13),0))
+IF($Q13="",0,IFERROR(SUMIFS(INDEX(rastreabilidade!$F:$H,0,MATCH(G$3,rastreabilidade!$F$1:$H$1,0)),rastreabilidade!$M:$M,$Q13),0))
-IF($J13="",0,IFERROR(SUMIFS(INDEX(rastreabilidade!$F:$H,0,MATCH(G$3,rastreabilidade!$F$1:$H$1,0)),rastreabilidade!$M:$M,$J13,rastreabilidade!$N:$N,$AM13),0))
-IF($K13="",0,IFERROR(SUMIFS(INDEX(rastreabilidade!$F:$H,0,MATCH(G$3,rastreabilidade!$F$1:$H$1,0)),rastreabilidade!$M:$M,$K13,rastreabilidade!$N:$N,$AM13),0))
-IF($L13="",0,IFERROR(SUMIFS(INDEX(rastreabilidade!$F:$H,0,MATCH(G$3,rastreabilidade!$F$1:$H$1,0)),rastreabilidade!$M:$M,$L13,rastreabilidade!$N:$N,$AM13),0))
-IF($M13="",0,IFERROR(SUMIFS(INDEX(rastreabilidade!$F:$H,0,MATCH(G$3,rastreabilidade!$F$1:$H$1,0)),rastreabilidade!$M:$M,$M13,rastreabilidade!$N:$N,$AM13),0))</f>
        <v>0</v>
      </c>
      <c r="H13" s="40"/>
      <c r="I13" s="155" t="str" cm="1">
        <f t="array" ref="I13">_xlfn.LET(
_xlpm.mem,H13,
_xlpm.retiradas,J13:M13,
_xlpm.adicoes,N13:Q13,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13" s="54"/>
      <c r="K13" s="54"/>
      <c r="L13" s="54"/>
      <c r="M13" s="54"/>
      <c r="N13" s="58"/>
      <c r="O13" s="58"/>
      <c r="P13" s="58"/>
      <c r="Q13" s="108"/>
      <c r="R13" s="4"/>
      <c r="S13" s="97" t="s">
        <v>36</v>
      </c>
      <c r="T13" s="11">
        <f>IFERROR(SUMIFS(INDEX(rastreabilidade!$F:$H,0,MATCH($T$2,rastreabilidade!$F$1:$H$1,0)),rastreabilidade!$K:$K,$S13,rastreabilidade!$D:$D,"Sim"),0)</f>
        <v>0</v>
      </c>
      <c r="U13" s="35"/>
      <c r="V13" s="4"/>
      <c r="W13" s="156">
        <f>IFERROR(SUMIFS(INDEX(rastreabilidade!$F:$H,0,MATCH(W$3,rastreabilidade!$F$1:$H$1,0)),rastreabilidade!$N:$N,$AN13),0)*IF($AB13="sim",-1,1)
+IF($AG13="",0,IFERROR(SUMIFS(INDEX(rastreabilidade!$F:$H,0,MATCH(W$3,rastreabilidade!$F$1:$H$1,0)),rastreabilidade!$M:$M,$AG13),0))
+IF($AH13="",0,IFERROR(SUMIFS(INDEX(rastreabilidade!$F:$H,0,MATCH(W$3,rastreabilidade!$F$1:$H$1,0)),rastreabilidade!$M:$M,$AH13),0))
+IF($AI13="",0,IFERROR(SUMIFS(INDEX(rastreabilidade!$F:$H,0,MATCH(W$3,rastreabilidade!$F$1:$H$1,0)),rastreabilidade!$M:$M,$AI13),0))
+IF($AJ13="",0,IFERROR(SUMIFS(INDEX(rastreabilidade!$F:$H,0,MATCH(W$3,rastreabilidade!$F$1:$H$1,0)),rastreabilidade!$M:$M,$AJ13),0))
-IF($AC13="",0,IFERROR(SUMIFS(INDEX(rastreabilidade!$F:$H,0,MATCH(W$3,rastreabilidade!$F$1:$H$1,0)),rastreabilidade!$M:$M,$AC13,rastreabilidade!$N:$N,$AN13),0))
-IF($AD13="",0,IFERROR(SUMIFS(INDEX(rastreabilidade!$F:$H,0,MATCH(W$3,rastreabilidade!$F$1:$H$1,0)),rastreabilidade!$M:$M,$AD13,rastreabilidade!$N:$N,$AN13),0))
-IF($AE13="",0,IFERROR(SUMIFS(INDEX(rastreabilidade!$F:$H,0,MATCH(W$3,rastreabilidade!$F$1:$H$1,0)),rastreabilidade!$M:$M,$AE13,rastreabilidade!$N:$N,$AN13),0))
-IF($AF13="",0,IFERROR(SUMIFS(INDEX(rastreabilidade!$F:$H,0,MATCH(W$3,rastreabilidade!$F$1:$H$1,0)),rastreabilidade!$M:$M,$AF13,rastreabilidade!$N:$N,$AN13),0))</f>
        <v>0</v>
      </c>
      <c r="X13" s="156">
        <f>IFERROR(SUMIFS(INDEX(rastreabilidade!$F:$H,0,MATCH(X$3,rastreabilidade!$F$1:$H$1,0)),rastreabilidade!$N:$N,$AN13),0)*IF($AB13="sim",-1,1)
+IF($AG13="",0,IFERROR(SUMIFS(INDEX(rastreabilidade!$F:$H,0,MATCH(X$3,rastreabilidade!$F$1:$H$1,0)),rastreabilidade!$M:$M,$AG13),0))
+IF($AH13="",0,IFERROR(SUMIFS(INDEX(rastreabilidade!$F:$H,0,MATCH(X$3,rastreabilidade!$F$1:$H$1,0)),rastreabilidade!$M:$M,$AH13),0))
+IF($AI13="",0,IFERROR(SUMIFS(INDEX(rastreabilidade!$F:$H,0,MATCH(X$3,rastreabilidade!$F$1:$H$1,0)),rastreabilidade!$M:$M,$AI13),0))
+IF($AJ13="",0,IFERROR(SUMIFS(INDEX(rastreabilidade!$F:$H,0,MATCH(X$3,rastreabilidade!$F$1:$H$1,0)),rastreabilidade!$M:$M,$AJ13),0))
-IF($AC13="",0,IFERROR(SUMIFS(INDEX(rastreabilidade!$F:$H,0,MATCH(X$3,rastreabilidade!$F$1:$H$1,0)),rastreabilidade!$M:$M,$AC13,rastreabilidade!$N:$N,$AN13),0))
-IF($AD13="",0,IFERROR(SUMIFS(INDEX(rastreabilidade!$F:$H,0,MATCH(X$3,rastreabilidade!$F$1:$H$1,0)),rastreabilidade!$M:$M,$AD13,rastreabilidade!$N:$N,$AN13),0))
-IF($AE13="",0,IFERROR(SUMIFS(INDEX(rastreabilidade!$F:$H,0,MATCH(X$3,rastreabilidade!$F$1:$H$1,0)),rastreabilidade!$M:$M,$AE13,rastreabilidade!$N:$N,$AN13),0))
-IF($AF13="",0,IFERROR(SUMIFS(INDEX(rastreabilidade!$F:$H,0,MATCH(X$3,rastreabilidade!$F$1:$H$1,0)),rastreabilidade!$M:$M,$AF13,rastreabilidade!$N:$N,$AN13),0))</f>
        <v>0</v>
      </c>
      <c r="Y13" s="156">
        <f>IFERROR(SUMIFS(INDEX(rastreabilidade!$F:$H,0,MATCH(Y$3,rastreabilidade!$F$1:$H$1,0)),rastreabilidade!$N:$N,$AN13),0)*IF($AB13="sim",-1,1)
+IF($AG13="",0,IFERROR(SUMIFS(INDEX(rastreabilidade!$F:$H,0,MATCH(Y$3,rastreabilidade!$F$1:$H$1,0)),rastreabilidade!$M:$M,$AG13),0))
+IF($AH13="",0,IFERROR(SUMIFS(INDEX(rastreabilidade!$F:$H,0,MATCH(Y$3,rastreabilidade!$F$1:$H$1,0)),rastreabilidade!$M:$M,$AH13),0))
+IF($AI13="",0,IFERROR(SUMIFS(INDEX(rastreabilidade!$F:$H,0,MATCH(Y$3,rastreabilidade!$F$1:$H$1,0)),rastreabilidade!$M:$M,$AI13),0))
+IF($AJ13="",0,IFERROR(SUMIFS(INDEX(rastreabilidade!$F:$H,0,MATCH(Y$3,rastreabilidade!$F$1:$H$1,0)),rastreabilidade!$M:$M,$AJ13),0))
-IF($AC13="",0,IFERROR(SUMIFS(INDEX(rastreabilidade!$F:$H,0,MATCH(Y$3,rastreabilidade!$F$1:$H$1,0)),rastreabilidade!$M:$M,$AC13,rastreabilidade!$N:$N,$AN13),0))
-IF($AD13="",0,IFERROR(SUMIFS(INDEX(rastreabilidade!$F:$H,0,MATCH(Y$3,rastreabilidade!$F$1:$H$1,0)),rastreabilidade!$M:$M,$AD13,rastreabilidade!$N:$N,$AN13),0))
-IF($AE13="",0,IFERROR(SUMIFS(INDEX(rastreabilidade!$F:$H,0,MATCH(Y$3,rastreabilidade!$F$1:$H$1,0)),rastreabilidade!$M:$M,$AE13,rastreabilidade!$N:$N,$AN13),0))
-IF($AF13="",0,IFERROR(SUMIFS(INDEX(rastreabilidade!$F:$H,0,MATCH(Y$3,rastreabilidade!$F$1:$H$1,0)),rastreabilidade!$M:$M,$AF13,rastreabilidade!$N:$N,$AN13),0))</f>
        <v>0</v>
      </c>
      <c r="Z13" s="36"/>
      <c r="AA13" s="177" t="str" cm="1">
        <f t="array" ref="AA13">_xlfn.LET(
_xlpm.mem,Z13,
_xlpm.retiradas,AC13:AF13,
_xlpm.adicoes,AG13:AJ13,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13" s="114"/>
      <c r="AC13" s="54"/>
      <c r="AD13" s="54"/>
      <c r="AE13" s="54"/>
      <c r="AF13" s="54"/>
      <c r="AG13" s="58"/>
      <c r="AH13" s="58"/>
      <c r="AI13" s="58"/>
      <c r="AJ13" s="108"/>
      <c r="AL13" s="5"/>
      <c r="AM13" s="5" t="str">
        <f t="shared" si="0"/>
        <v>Produtos em Elaboração|Ativo|Circulante</v>
      </c>
      <c r="AN13" s="5" t="str">
        <f t="shared" si="1"/>
        <v>+/-Outras Receitas/Despesas Operacionais|DRE|DRE</v>
      </c>
      <c r="AO13" s="5"/>
      <c r="AP13" s="5"/>
      <c r="AQ13" s="6"/>
      <c r="AR13" s="7"/>
      <c r="AS13" s="7"/>
      <c r="AT13" s="7"/>
    </row>
    <row r="14" spans="1:46" ht="35.1" customHeight="1" x14ac:dyDescent="0.25">
      <c r="A14" s="80" t="s">
        <v>37</v>
      </c>
      <c r="B14" s="121">
        <f>IFERROR(SUMIFS(INDEX(rastreabilidade!$F:$H,0,MATCH($B$2,rastreabilidade!$F$1:$H$1,0)),rastreabilidade!$K:$K,$A14,rastreabilidade!$D:$D,"Sim"),0)</f>
        <v>0</v>
      </c>
      <c r="C14" s="35"/>
      <c r="D14" s="4"/>
      <c r="E14" s="121">
        <f>IFERROR(SUMIFS(INDEX(rastreabilidade!$F:$H,0,MATCH(E$3,rastreabilidade!$F$1:$H$1,0)),rastreabilidade!$N:$N,$AM14),0)
+IF($N14="",0,IFERROR(SUMIFS(INDEX(rastreabilidade!$F:$H,0,MATCH(E$3,rastreabilidade!$F$1:$H$1,0)),rastreabilidade!$M:$M,$N14),0))
+IF($O14="",0,IFERROR(SUMIFS(INDEX(rastreabilidade!$F:$H,0,MATCH(E$3,rastreabilidade!$F$1:$H$1,0)),rastreabilidade!$M:$M,$O14),0))
+IF($P14="",0,IFERROR(SUMIFS(INDEX(rastreabilidade!$F:$H,0,MATCH(E$3,rastreabilidade!$F$1:$H$1,0)),rastreabilidade!$M:$M,$P14),0))
+IF($Q14="",0,IFERROR(SUMIFS(INDEX(rastreabilidade!$F:$H,0,MATCH(E$3,rastreabilidade!$F$1:$H$1,0)),rastreabilidade!$M:$M,$Q14),0))
-IF($J14="",0,IFERROR(SUMIFS(INDEX(rastreabilidade!$F:$H,0,MATCH(E$3,rastreabilidade!$F$1:$H$1,0)),rastreabilidade!$M:$M,$J14,rastreabilidade!$N:$N,$AM14),0))
-IF($K14="",0,IFERROR(SUMIFS(INDEX(rastreabilidade!$F:$H,0,MATCH(E$3,rastreabilidade!$F$1:$H$1,0)),rastreabilidade!$M:$M,$K14,rastreabilidade!$N:$N,$AM14),0))
-IF($L14="",0,IFERROR(SUMIFS(INDEX(rastreabilidade!$F:$H,0,MATCH(E$3,rastreabilidade!$F$1:$H$1,0)),rastreabilidade!$M:$M,$L14,rastreabilidade!$N:$N,$AM14),0))
-IF($M14="",0,IFERROR(SUMIFS(INDEX(rastreabilidade!$F:$H,0,MATCH(E$3,rastreabilidade!$F$1:$H$1,0)),rastreabilidade!$M:$M,$M14,rastreabilidade!$N:$N,$AM14),0))</f>
        <v>0</v>
      </c>
      <c r="F14" s="121">
        <f>IFERROR(SUMIFS(INDEX(rastreabilidade!$F:$H,0,MATCH(F$3,rastreabilidade!$F$1:$H$1,0)),rastreabilidade!$N:$N,$AM14),0)
+IF($N14="",0,IFERROR(SUMIFS(INDEX(rastreabilidade!$F:$H,0,MATCH(F$3,rastreabilidade!$F$1:$H$1,0)),rastreabilidade!$M:$M,$N14),0))
+IF($O14="",0,IFERROR(SUMIFS(INDEX(rastreabilidade!$F:$H,0,MATCH(F$3,rastreabilidade!$F$1:$H$1,0)),rastreabilidade!$M:$M,$O14),0))
+IF($P14="",0,IFERROR(SUMIFS(INDEX(rastreabilidade!$F:$H,0,MATCH(F$3,rastreabilidade!$F$1:$H$1,0)),rastreabilidade!$M:$M,$P14),0))
+IF($Q14="",0,IFERROR(SUMIFS(INDEX(rastreabilidade!$F:$H,0,MATCH(F$3,rastreabilidade!$F$1:$H$1,0)),rastreabilidade!$M:$M,$Q14),0))
-IF($J14="",0,IFERROR(SUMIFS(INDEX(rastreabilidade!$F:$H,0,MATCH(F$3,rastreabilidade!$F$1:$H$1,0)),rastreabilidade!$M:$M,$J14,rastreabilidade!$N:$N,$AM14),0))
-IF($K14="",0,IFERROR(SUMIFS(INDEX(rastreabilidade!$F:$H,0,MATCH(F$3,rastreabilidade!$F$1:$H$1,0)),rastreabilidade!$M:$M,$K14,rastreabilidade!$N:$N,$AM14),0))
-IF($L14="",0,IFERROR(SUMIFS(INDEX(rastreabilidade!$F:$H,0,MATCH(F$3,rastreabilidade!$F$1:$H$1,0)),rastreabilidade!$M:$M,$L14,rastreabilidade!$N:$N,$AM14),0))
-IF($M14="",0,IFERROR(SUMIFS(INDEX(rastreabilidade!$F:$H,0,MATCH(F$3,rastreabilidade!$F$1:$H$1,0)),rastreabilidade!$M:$M,$M14,rastreabilidade!$N:$N,$AM14),0))</f>
        <v>0</v>
      </c>
      <c r="G14" s="122">
        <f>IFERROR(SUMIFS(INDEX(rastreabilidade!$F:$H,0,MATCH(G$3,rastreabilidade!$F$1:$H$1,0)),rastreabilidade!$N:$N,$AM14),0)
+IF($N14="",0,IFERROR(SUMIFS(INDEX(rastreabilidade!$F:$H,0,MATCH(G$3,rastreabilidade!$F$1:$H$1,0)),rastreabilidade!$M:$M,$N14),0))
+IF($O14="",0,IFERROR(SUMIFS(INDEX(rastreabilidade!$F:$H,0,MATCH(G$3,rastreabilidade!$F$1:$H$1,0)),rastreabilidade!$M:$M,$O14),0))
+IF($P14="",0,IFERROR(SUMIFS(INDEX(rastreabilidade!$F:$H,0,MATCH(G$3,rastreabilidade!$F$1:$H$1,0)),rastreabilidade!$M:$M,$P14),0))
+IF($Q14="",0,IFERROR(SUMIFS(INDEX(rastreabilidade!$F:$H,0,MATCH(G$3,rastreabilidade!$F$1:$H$1,0)),rastreabilidade!$M:$M,$Q14),0))
-IF($J14="",0,IFERROR(SUMIFS(INDEX(rastreabilidade!$F:$H,0,MATCH(G$3,rastreabilidade!$F$1:$H$1,0)),rastreabilidade!$M:$M,$J14,rastreabilidade!$N:$N,$AM14),0))
-IF($K14="",0,IFERROR(SUMIFS(INDEX(rastreabilidade!$F:$H,0,MATCH(G$3,rastreabilidade!$F$1:$H$1,0)),rastreabilidade!$M:$M,$K14,rastreabilidade!$N:$N,$AM14),0))
-IF($L14="",0,IFERROR(SUMIFS(INDEX(rastreabilidade!$F:$H,0,MATCH(G$3,rastreabilidade!$F$1:$H$1,0)),rastreabilidade!$M:$M,$L14,rastreabilidade!$N:$N,$AM14),0))
-IF($M14="",0,IFERROR(SUMIFS(INDEX(rastreabilidade!$F:$H,0,MATCH(G$3,rastreabilidade!$F$1:$H$1,0)),rastreabilidade!$M:$M,$M14,rastreabilidade!$N:$N,$AM14),0))</f>
        <v>0</v>
      </c>
      <c r="H14" s="40"/>
      <c r="I14" s="155" t="str" cm="1">
        <f t="array" ref="I14">_xlfn.LET(
_xlpm.mem,H14,
_xlpm.retiradas,J14:M14,
_xlpm.adicoes,N14:Q14,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14" s="54"/>
      <c r="K14" s="54"/>
      <c r="L14" s="54"/>
      <c r="M14" s="54"/>
      <c r="N14" s="58"/>
      <c r="O14" s="58"/>
      <c r="P14" s="58"/>
      <c r="Q14" s="108"/>
      <c r="R14" s="4"/>
      <c r="S14" s="100" t="s">
        <v>38</v>
      </c>
      <c r="T14" s="12">
        <f>IFERROR(SUMIFS(INDEX(rastreabilidade!$F:$H,0,MATCH($T$2,rastreabilidade!$F$1:$H$1,0)),rastreabilidade!$K:$K,$S14,rastreabilidade!$D:$D,"Sim"),0)</f>
        <v>0</v>
      </c>
      <c r="U14" s="35"/>
      <c r="V14" s="4"/>
      <c r="W14" s="158">
        <f>IFERROR(SUMIFS(INDEX(rastreabilidade!$F:$H,0,MATCH(W$3,rastreabilidade!$F$1:$H$1,0)),rastreabilidade!$N:$N,$AN14),0)*IF($AB14="sim",-1,1)
+IF($AG14="",0,IFERROR(SUMIFS(INDEX(rastreabilidade!$F:$H,0,MATCH(W$3,rastreabilidade!$F$1:$H$1,0)),rastreabilidade!$M:$M,$AG14),0))
+IF($AH14="",0,IFERROR(SUMIFS(INDEX(rastreabilidade!$F:$H,0,MATCH(W$3,rastreabilidade!$F$1:$H$1,0)),rastreabilidade!$M:$M,$AH14),0))
+IF($AI14="",0,IFERROR(SUMIFS(INDEX(rastreabilidade!$F:$H,0,MATCH(W$3,rastreabilidade!$F$1:$H$1,0)),rastreabilidade!$M:$M,$AI14),0))
+IF($AJ14="",0,IFERROR(SUMIFS(INDEX(rastreabilidade!$F:$H,0,MATCH(W$3,rastreabilidade!$F$1:$H$1,0)),rastreabilidade!$M:$M,$AJ14),0))
-IF($AC14="",0,IFERROR(SUMIFS(INDEX(rastreabilidade!$F:$H,0,MATCH(W$3,rastreabilidade!$F$1:$H$1,0)),rastreabilidade!$M:$M,$AC14,rastreabilidade!$N:$N,$AN14),0))
-IF($AD14="",0,IFERROR(SUMIFS(INDEX(rastreabilidade!$F:$H,0,MATCH(W$3,rastreabilidade!$F$1:$H$1,0)),rastreabilidade!$M:$M,$AD14,rastreabilidade!$N:$N,$AN14),0))
-IF($AE14="",0,IFERROR(SUMIFS(INDEX(rastreabilidade!$F:$H,0,MATCH(W$3,rastreabilidade!$F$1:$H$1,0)),rastreabilidade!$M:$M,$AE14,rastreabilidade!$N:$N,$AN14),0))
-IF($AF14="",0,IFERROR(SUMIFS(INDEX(rastreabilidade!$F:$H,0,MATCH(W$3,rastreabilidade!$F$1:$H$1,0)),rastreabilidade!$M:$M,$AF14,rastreabilidade!$N:$N,$AN14),0))</f>
        <v>0</v>
      </c>
      <c r="X14" s="158">
        <f>IFERROR(SUMIFS(INDEX(rastreabilidade!$F:$H,0,MATCH(X$3,rastreabilidade!$F$1:$H$1,0)),rastreabilidade!$N:$N,$AN14),0)*IF($AB14="sim",-1,1)
+IF($AG14="",0,IFERROR(SUMIFS(INDEX(rastreabilidade!$F:$H,0,MATCH(X$3,rastreabilidade!$F$1:$H$1,0)),rastreabilidade!$M:$M,$AG14),0))
+IF($AH14="",0,IFERROR(SUMIFS(INDEX(rastreabilidade!$F:$H,0,MATCH(X$3,rastreabilidade!$F$1:$H$1,0)),rastreabilidade!$M:$M,$AH14),0))
+IF($AI14="",0,IFERROR(SUMIFS(INDEX(rastreabilidade!$F:$H,0,MATCH(X$3,rastreabilidade!$F$1:$H$1,0)),rastreabilidade!$M:$M,$AI14),0))
+IF($AJ14="",0,IFERROR(SUMIFS(INDEX(rastreabilidade!$F:$H,0,MATCH(X$3,rastreabilidade!$F$1:$H$1,0)),rastreabilidade!$M:$M,$AJ14),0))
-IF($AC14="",0,IFERROR(SUMIFS(INDEX(rastreabilidade!$F:$H,0,MATCH(X$3,rastreabilidade!$F$1:$H$1,0)),rastreabilidade!$M:$M,$AC14,rastreabilidade!$N:$N,$AN14),0))
-IF($AD14="",0,IFERROR(SUMIFS(INDEX(rastreabilidade!$F:$H,0,MATCH(X$3,rastreabilidade!$F$1:$H$1,0)),rastreabilidade!$M:$M,$AD14,rastreabilidade!$N:$N,$AN14),0))
-IF($AE14="",0,IFERROR(SUMIFS(INDEX(rastreabilidade!$F:$H,0,MATCH(X$3,rastreabilidade!$F$1:$H$1,0)),rastreabilidade!$M:$M,$AE14,rastreabilidade!$N:$N,$AN14),0))
-IF($AF14="",0,IFERROR(SUMIFS(INDEX(rastreabilidade!$F:$H,0,MATCH(X$3,rastreabilidade!$F$1:$H$1,0)),rastreabilidade!$M:$M,$AF14,rastreabilidade!$N:$N,$AN14),0))</f>
        <v>0</v>
      </c>
      <c r="Y14" s="158">
        <f>IFERROR(SUMIFS(INDEX(rastreabilidade!$F:$H,0,MATCH(Y$3,rastreabilidade!$F$1:$H$1,0)),rastreabilidade!$N:$N,$AN14),0)*IF($AB14="sim",-1,1)
+IF($AG14="",0,IFERROR(SUMIFS(INDEX(rastreabilidade!$F:$H,0,MATCH(Y$3,rastreabilidade!$F$1:$H$1,0)),rastreabilidade!$M:$M,$AG14),0))
+IF($AH14="",0,IFERROR(SUMIFS(INDEX(rastreabilidade!$F:$H,0,MATCH(Y$3,rastreabilidade!$F$1:$H$1,0)),rastreabilidade!$M:$M,$AH14),0))
+IF($AI14="",0,IFERROR(SUMIFS(INDEX(rastreabilidade!$F:$H,0,MATCH(Y$3,rastreabilidade!$F$1:$H$1,0)),rastreabilidade!$M:$M,$AI14),0))
+IF($AJ14="",0,IFERROR(SUMIFS(INDEX(rastreabilidade!$F:$H,0,MATCH(Y$3,rastreabilidade!$F$1:$H$1,0)),rastreabilidade!$M:$M,$AJ14),0))
-IF($AC14="",0,IFERROR(SUMIFS(INDEX(rastreabilidade!$F:$H,0,MATCH(Y$3,rastreabilidade!$F$1:$H$1,0)),rastreabilidade!$M:$M,$AC14,rastreabilidade!$N:$N,$AN14),0))
-IF($AD14="",0,IFERROR(SUMIFS(INDEX(rastreabilidade!$F:$H,0,MATCH(Y$3,rastreabilidade!$F$1:$H$1,0)),rastreabilidade!$M:$M,$AD14,rastreabilidade!$N:$N,$AN14),0))
-IF($AE14="",0,IFERROR(SUMIFS(INDEX(rastreabilidade!$F:$H,0,MATCH(Y$3,rastreabilidade!$F$1:$H$1,0)),rastreabilidade!$M:$M,$AE14,rastreabilidade!$N:$N,$AN14),0))
-IF($AF14="",0,IFERROR(SUMIFS(INDEX(rastreabilidade!$F:$H,0,MATCH(Y$3,rastreabilidade!$F$1:$H$1,0)),rastreabilidade!$M:$M,$AF14,rastreabilidade!$N:$N,$AN14),0))</f>
        <v>0</v>
      </c>
      <c r="Z14" s="47"/>
      <c r="AA14" s="177" t="str" cm="1">
        <f t="array" ref="AA14">_xlfn.LET(
_xlpm.mem,Z14,
_xlpm.retiradas,AC14:AF14,
_xlpm.adicoes,AG14:AJ14,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14" s="114"/>
      <c r="AC14" s="54"/>
      <c r="AD14" s="54"/>
      <c r="AE14" s="54"/>
      <c r="AF14" s="54"/>
      <c r="AG14" s="58"/>
      <c r="AH14" s="58"/>
      <c r="AI14" s="58"/>
      <c r="AJ14" s="108"/>
      <c r="AL14" s="5"/>
      <c r="AM14" s="5" t="str">
        <f t="shared" si="0"/>
        <v>Produtos Acabados|Ativo|Circulante</v>
      </c>
      <c r="AN14" s="5" t="str">
        <f t="shared" si="1"/>
        <v>+/-Provisões Operacionais|DRE|DRE</v>
      </c>
      <c r="AO14" s="5"/>
      <c r="AP14" s="5"/>
      <c r="AQ14" s="6"/>
      <c r="AR14" s="7"/>
      <c r="AS14" s="7"/>
      <c r="AT14" s="7"/>
    </row>
    <row r="15" spans="1:46" ht="35.1" customHeight="1" x14ac:dyDescent="0.25">
      <c r="A15" s="79" t="s">
        <v>39</v>
      </c>
      <c r="B15" s="123">
        <f>+B12+B13+B14</f>
        <v>0</v>
      </c>
      <c r="C15" s="39"/>
      <c r="D15" s="24"/>
      <c r="E15" s="123">
        <f>+E12+E13+E14</f>
        <v>0</v>
      </c>
      <c r="F15" s="123">
        <f>+F12+F13+F14</f>
        <v>0</v>
      </c>
      <c r="G15" s="124">
        <f>+G12+G13+G14</f>
        <v>0</v>
      </c>
      <c r="H15" s="37"/>
      <c r="I15" s="39"/>
      <c r="J15" s="38">
        <f>+J12+J13+J14</f>
        <v>0</v>
      </c>
      <c r="K15" s="38"/>
      <c r="L15" s="38"/>
      <c r="M15" s="38"/>
      <c r="N15" s="38"/>
      <c r="O15" s="38"/>
      <c r="P15" s="38"/>
      <c r="Q15" s="38">
        <f>+Q12+Q13+Q14</f>
        <v>0</v>
      </c>
      <c r="R15" s="4"/>
      <c r="S15" s="90" t="s">
        <v>40</v>
      </c>
      <c r="T15" s="14">
        <f>SUM(T12:T14)</f>
        <v>0</v>
      </c>
      <c r="U15" s="51"/>
      <c r="V15" s="4"/>
      <c r="W15" s="159">
        <f>SUM(W12:W14)</f>
        <v>0</v>
      </c>
      <c r="X15" s="159">
        <f>SUM(X12:X14)</f>
        <v>0</v>
      </c>
      <c r="Y15" s="159">
        <f>SUM(Y12:Y14)</f>
        <v>0</v>
      </c>
      <c r="Z15" s="47"/>
      <c r="AA15" s="51"/>
      <c r="AB15" s="115"/>
      <c r="AC15" s="51"/>
      <c r="AD15" s="51"/>
      <c r="AE15" s="51"/>
      <c r="AF15" s="51"/>
      <c r="AG15" s="51"/>
      <c r="AH15" s="51"/>
      <c r="AI15" s="51"/>
      <c r="AJ15" s="105"/>
      <c r="AL15" s="5"/>
      <c r="AM15" s="5" t="str">
        <f t="shared" si="0"/>
        <v>Estoques|Ativo|Circulante</v>
      </c>
      <c r="AN15" s="5" t="str">
        <f t="shared" si="1"/>
        <v>Resultado Operacional (EBIT)|DRE|DRE</v>
      </c>
      <c r="AO15" s="5"/>
      <c r="AP15" s="5"/>
      <c r="AQ15" s="6"/>
      <c r="AR15" s="7"/>
      <c r="AS15" s="7"/>
      <c r="AT15" s="7"/>
    </row>
    <row r="16" spans="1:46" ht="35.1" customHeight="1" x14ac:dyDescent="0.25">
      <c r="A16" s="116" t="s">
        <v>41</v>
      </c>
      <c r="B16" s="125">
        <f>IFERROR(SUMIFS(INDEX(rastreabilidade!$F:$H,0,MATCH($B$2,rastreabilidade!$F$1:$H$1,0)),rastreabilidade!$K:$K,$A16,rastreabilidade!$D:$D,"Sim"),0)</f>
        <v>0</v>
      </c>
      <c r="C16" s="35"/>
      <c r="D16" s="24"/>
      <c r="E16" s="125">
        <f>IFERROR(SUMIFS(INDEX(rastreabilidade!$F:$H,0,MATCH(E$3,rastreabilidade!$F$1:$H$1,0)),rastreabilidade!$N:$N,$AM16),0)
+IF($N16="",0,IFERROR(SUMIFS(INDEX(rastreabilidade!$F:$H,0,MATCH(E$3,rastreabilidade!$F$1:$H$1,0)),rastreabilidade!$M:$M,$N16),0))
+IF($O16="",0,IFERROR(SUMIFS(INDEX(rastreabilidade!$F:$H,0,MATCH(E$3,rastreabilidade!$F$1:$H$1,0)),rastreabilidade!$M:$M,$O16),0))
+IF($P16="",0,IFERROR(SUMIFS(INDEX(rastreabilidade!$F:$H,0,MATCH(E$3,rastreabilidade!$F$1:$H$1,0)),rastreabilidade!$M:$M,$P16),0))
+IF($Q16="",0,IFERROR(SUMIFS(INDEX(rastreabilidade!$F:$H,0,MATCH(E$3,rastreabilidade!$F$1:$H$1,0)),rastreabilidade!$M:$M,$Q16),0))
-IF($J16="",0,IFERROR(SUMIFS(INDEX(rastreabilidade!$F:$H,0,MATCH(E$3,rastreabilidade!$F$1:$H$1,0)),rastreabilidade!$M:$M,$J16,rastreabilidade!$N:$N,$AM16),0))
-IF($K16="",0,IFERROR(SUMIFS(INDEX(rastreabilidade!$F:$H,0,MATCH(E$3,rastreabilidade!$F$1:$H$1,0)),rastreabilidade!$M:$M,$K16,rastreabilidade!$N:$N,$AM16),0))
-IF($L16="",0,IFERROR(SUMIFS(INDEX(rastreabilidade!$F:$H,0,MATCH(E$3,rastreabilidade!$F$1:$H$1,0)),rastreabilidade!$M:$M,$L16,rastreabilidade!$N:$N,$AM16),0))
-IF($M16="",0,IFERROR(SUMIFS(INDEX(rastreabilidade!$F:$H,0,MATCH(E$3,rastreabilidade!$F$1:$H$1,0)),rastreabilidade!$M:$M,$M16,rastreabilidade!$N:$N,$AM16),0))</f>
        <v>0</v>
      </c>
      <c r="F16" s="125">
        <f>IFERROR(SUMIFS(INDEX(rastreabilidade!$F:$H,0,MATCH(F$3,rastreabilidade!$F$1:$H$1,0)),rastreabilidade!$N:$N,$AM16),0)
+IF($N16="",0,IFERROR(SUMIFS(INDEX(rastreabilidade!$F:$H,0,MATCH(F$3,rastreabilidade!$F$1:$H$1,0)),rastreabilidade!$M:$M,$N16),0))
+IF($O16="",0,IFERROR(SUMIFS(INDEX(rastreabilidade!$F:$H,0,MATCH(F$3,rastreabilidade!$F$1:$H$1,0)),rastreabilidade!$M:$M,$O16),0))
+IF($P16="",0,IFERROR(SUMIFS(INDEX(rastreabilidade!$F:$H,0,MATCH(F$3,rastreabilidade!$F$1:$H$1,0)),rastreabilidade!$M:$M,$P16),0))
+IF($Q16="",0,IFERROR(SUMIFS(INDEX(rastreabilidade!$F:$H,0,MATCH(F$3,rastreabilidade!$F$1:$H$1,0)),rastreabilidade!$M:$M,$Q16),0))
-IF($J16="",0,IFERROR(SUMIFS(INDEX(rastreabilidade!$F:$H,0,MATCH(F$3,rastreabilidade!$F$1:$H$1,0)),rastreabilidade!$M:$M,$J16,rastreabilidade!$N:$N,$AM16),0))
-IF($K16="",0,IFERROR(SUMIFS(INDEX(rastreabilidade!$F:$H,0,MATCH(F$3,rastreabilidade!$F$1:$H$1,0)),rastreabilidade!$M:$M,$K16,rastreabilidade!$N:$N,$AM16),0))
-IF($L16="",0,IFERROR(SUMIFS(INDEX(rastreabilidade!$F:$H,0,MATCH(F$3,rastreabilidade!$F$1:$H$1,0)),rastreabilidade!$M:$M,$L16,rastreabilidade!$N:$N,$AM16),0))
-IF($M16="",0,IFERROR(SUMIFS(INDEX(rastreabilidade!$F:$H,0,MATCH(F$3,rastreabilidade!$F$1:$H$1,0)),rastreabilidade!$M:$M,$M16,rastreabilidade!$N:$N,$AM16),0))</f>
        <v>0</v>
      </c>
      <c r="G16" s="126">
        <f>IFERROR(SUMIFS(INDEX(rastreabilidade!$F:$H,0,MATCH(G$3,rastreabilidade!$F$1:$H$1,0)),rastreabilidade!$N:$N,$AM16),0)
+IF($N16="",0,IFERROR(SUMIFS(INDEX(rastreabilidade!$F:$H,0,MATCH(G$3,rastreabilidade!$F$1:$H$1,0)),rastreabilidade!$M:$M,$N16),0))
+IF($O16="",0,IFERROR(SUMIFS(INDEX(rastreabilidade!$F:$H,0,MATCH(G$3,rastreabilidade!$F$1:$H$1,0)),rastreabilidade!$M:$M,$O16),0))
+IF($P16="",0,IFERROR(SUMIFS(INDEX(rastreabilidade!$F:$H,0,MATCH(G$3,rastreabilidade!$F$1:$H$1,0)),rastreabilidade!$M:$M,$P16),0))
+IF($Q16="",0,IFERROR(SUMIFS(INDEX(rastreabilidade!$F:$H,0,MATCH(G$3,rastreabilidade!$F$1:$H$1,0)),rastreabilidade!$M:$M,$Q16),0))
-IF($J16="",0,IFERROR(SUMIFS(INDEX(rastreabilidade!$F:$H,0,MATCH(G$3,rastreabilidade!$F$1:$H$1,0)),rastreabilidade!$M:$M,$J16,rastreabilidade!$N:$N,$AM16),0))
-IF($K16="",0,IFERROR(SUMIFS(INDEX(rastreabilidade!$F:$H,0,MATCH(G$3,rastreabilidade!$F$1:$H$1,0)),rastreabilidade!$M:$M,$K16,rastreabilidade!$N:$N,$AM16),0))
-IF($L16="",0,IFERROR(SUMIFS(INDEX(rastreabilidade!$F:$H,0,MATCH(G$3,rastreabilidade!$F$1:$H$1,0)),rastreabilidade!$M:$M,$L16,rastreabilidade!$N:$N,$AM16),0))
-IF($M16="",0,IFERROR(SUMIFS(INDEX(rastreabilidade!$F:$H,0,MATCH(G$3,rastreabilidade!$F$1:$H$1,0)),rastreabilidade!$M:$M,$M16,rastreabilidade!$N:$N,$AM16),0))</f>
        <v>0</v>
      </c>
      <c r="H16" s="40"/>
      <c r="I16" s="155" t="str" cm="1">
        <f t="array" ref="I16">_xlfn.LET(
_xlpm.mem,H16,
_xlpm.retiradas,J16:M16,
_xlpm.adicoes,N16:Q16,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16" s="54"/>
      <c r="K16" s="54"/>
      <c r="L16" s="54"/>
      <c r="M16" s="54"/>
      <c r="N16" s="58"/>
      <c r="O16" s="58"/>
      <c r="P16" s="58"/>
      <c r="Q16" s="108"/>
      <c r="R16" s="4"/>
      <c r="S16" s="99" t="s">
        <v>42</v>
      </c>
      <c r="T16" s="15">
        <f>IFERROR(SUMIFS(INDEX(rastreabilidade!$F:$H,0,MATCH($T$2,rastreabilidade!$F$1:$H$1,0)),rastreabilidade!$K:$K,$S16,rastreabilidade!$D:$D,"Sim"),0)</f>
        <v>0</v>
      </c>
      <c r="U16" s="35"/>
      <c r="V16" s="4"/>
      <c r="W16" s="141">
        <f>IFERROR(SUMIFS(INDEX(rastreabilidade!$F:$H,0,MATCH(W$3,rastreabilidade!$F$1:$H$1,0)),rastreabilidade!$N:$N,$AN16),0)*IF($AB16="sim",-1,1)
+IF($AG16="",0,IFERROR(SUMIFS(INDEX(rastreabilidade!$F:$H,0,MATCH(W$3,rastreabilidade!$F$1:$H$1,0)),rastreabilidade!$M:$M,$AG16),0))
+IF($AH16="",0,IFERROR(SUMIFS(INDEX(rastreabilidade!$F:$H,0,MATCH(W$3,rastreabilidade!$F$1:$H$1,0)),rastreabilidade!$M:$M,$AH16),0))
+IF($AI16="",0,IFERROR(SUMIFS(INDEX(rastreabilidade!$F:$H,0,MATCH(W$3,rastreabilidade!$F$1:$H$1,0)),rastreabilidade!$M:$M,$AI16),0))
+IF($AJ16="",0,IFERROR(SUMIFS(INDEX(rastreabilidade!$F:$H,0,MATCH(W$3,rastreabilidade!$F$1:$H$1,0)),rastreabilidade!$M:$M,$AJ16),0))
-IF($AC16="",0,IFERROR(SUMIFS(INDEX(rastreabilidade!$F:$H,0,MATCH(W$3,rastreabilidade!$F$1:$H$1,0)),rastreabilidade!$M:$M,$AC16,rastreabilidade!$N:$N,$AN16),0))
-IF($AD16="",0,IFERROR(SUMIFS(INDEX(rastreabilidade!$F:$H,0,MATCH(W$3,rastreabilidade!$F$1:$H$1,0)),rastreabilidade!$M:$M,$AD16,rastreabilidade!$N:$N,$AN16),0))
-IF($AE16="",0,IFERROR(SUMIFS(INDEX(rastreabilidade!$F:$H,0,MATCH(W$3,rastreabilidade!$F$1:$H$1,0)),rastreabilidade!$M:$M,$AE16,rastreabilidade!$N:$N,$AN16),0))
-IF($AF16="",0,IFERROR(SUMIFS(INDEX(rastreabilidade!$F:$H,0,MATCH(W$3,rastreabilidade!$F$1:$H$1,0)),rastreabilidade!$M:$M,$AF16,rastreabilidade!$N:$N,$AN16),0))</f>
        <v>0</v>
      </c>
      <c r="X16" s="141">
        <f>IFERROR(SUMIFS(INDEX(rastreabilidade!$F:$H,0,MATCH(X$3,rastreabilidade!$F$1:$H$1,0)),rastreabilidade!$N:$N,$AN16),0)*IF($AB16="sim",-1,1)
+IF($AG16="",0,IFERROR(SUMIFS(INDEX(rastreabilidade!$F:$H,0,MATCH(X$3,rastreabilidade!$F$1:$H$1,0)),rastreabilidade!$M:$M,$AG16),0))
+IF($AH16="",0,IFERROR(SUMIFS(INDEX(rastreabilidade!$F:$H,0,MATCH(X$3,rastreabilidade!$F$1:$H$1,0)),rastreabilidade!$M:$M,$AH16),0))
+IF($AI16="",0,IFERROR(SUMIFS(INDEX(rastreabilidade!$F:$H,0,MATCH(X$3,rastreabilidade!$F$1:$H$1,0)),rastreabilidade!$M:$M,$AI16),0))
+IF($AJ16="",0,IFERROR(SUMIFS(INDEX(rastreabilidade!$F:$H,0,MATCH(X$3,rastreabilidade!$F$1:$H$1,0)),rastreabilidade!$M:$M,$AJ16),0))
-IF($AC16="",0,IFERROR(SUMIFS(INDEX(rastreabilidade!$F:$H,0,MATCH(X$3,rastreabilidade!$F$1:$H$1,0)),rastreabilidade!$M:$M,$AC16,rastreabilidade!$N:$N,$AN16),0))
-IF($AD16="",0,IFERROR(SUMIFS(INDEX(rastreabilidade!$F:$H,0,MATCH(X$3,rastreabilidade!$F$1:$H$1,0)),rastreabilidade!$M:$M,$AD16,rastreabilidade!$N:$N,$AN16),0))
-IF($AE16="",0,IFERROR(SUMIFS(INDEX(rastreabilidade!$F:$H,0,MATCH(X$3,rastreabilidade!$F$1:$H$1,0)),rastreabilidade!$M:$M,$AE16,rastreabilidade!$N:$N,$AN16),0))
-IF($AF16="",0,IFERROR(SUMIFS(INDEX(rastreabilidade!$F:$H,0,MATCH(X$3,rastreabilidade!$F$1:$H$1,0)),rastreabilidade!$M:$M,$AF16,rastreabilidade!$N:$N,$AN16),0))</f>
        <v>0</v>
      </c>
      <c r="Y16" s="141">
        <f>IFERROR(SUMIFS(INDEX(rastreabilidade!$F:$H,0,MATCH(Y$3,rastreabilidade!$F$1:$H$1,0)),rastreabilidade!$N:$N,$AN16),0)*IF($AB16="sim",-1,1)
+IF($AG16="",0,IFERROR(SUMIFS(INDEX(rastreabilidade!$F:$H,0,MATCH(Y$3,rastreabilidade!$F$1:$H$1,0)),rastreabilidade!$M:$M,$AG16),0))
+IF($AH16="",0,IFERROR(SUMIFS(INDEX(rastreabilidade!$F:$H,0,MATCH(Y$3,rastreabilidade!$F$1:$H$1,0)),rastreabilidade!$M:$M,$AH16),0))
+IF($AI16="",0,IFERROR(SUMIFS(INDEX(rastreabilidade!$F:$H,0,MATCH(Y$3,rastreabilidade!$F$1:$H$1,0)),rastreabilidade!$M:$M,$AI16),0))
+IF($AJ16="",0,IFERROR(SUMIFS(INDEX(rastreabilidade!$F:$H,0,MATCH(Y$3,rastreabilidade!$F$1:$H$1,0)),rastreabilidade!$M:$M,$AJ16),0))
-IF($AC16="",0,IFERROR(SUMIFS(INDEX(rastreabilidade!$F:$H,0,MATCH(Y$3,rastreabilidade!$F$1:$H$1,0)),rastreabilidade!$M:$M,$AC16,rastreabilidade!$N:$N,$AN16),0))
-IF($AD16="",0,IFERROR(SUMIFS(INDEX(rastreabilidade!$F:$H,0,MATCH(Y$3,rastreabilidade!$F$1:$H$1,0)),rastreabilidade!$M:$M,$AD16,rastreabilidade!$N:$N,$AN16),0))
-IF($AE16="",0,IFERROR(SUMIFS(INDEX(rastreabilidade!$F:$H,0,MATCH(Y$3,rastreabilidade!$F$1:$H$1,0)),rastreabilidade!$M:$M,$AE16,rastreabilidade!$N:$N,$AN16),0))
-IF($AF16="",0,IFERROR(SUMIFS(INDEX(rastreabilidade!$F:$H,0,MATCH(Y$3,rastreabilidade!$F$1:$H$1,0)),rastreabilidade!$M:$M,$AF16,rastreabilidade!$N:$N,$AN16),0))</f>
        <v>0</v>
      </c>
      <c r="Z16" s="48"/>
      <c r="AA16" s="177" t="str" cm="1">
        <f t="array" ref="AA16">_xlfn.LET(
_xlpm.mem,Z16,
_xlpm.retiradas,AC16:AF16,
_xlpm.adicoes,AG16:AJ16,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16" s="114"/>
      <c r="AC16" s="54"/>
      <c r="AD16" s="54"/>
      <c r="AE16" s="54"/>
      <c r="AF16" s="54"/>
      <c r="AG16" s="58"/>
      <c r="AH16" s="58"/>
      <c r="AI16" s="58"/>
      <c r="AJ16" s="108"/>
      <c r="AL16" s="5"/>
      <c r="AM16" s="5" t="str">
        <f t="shared" si="0"/>
        <v>Ajustes derivativos / cambio (AC)|Ativo|Circulante</v>
      </c>
      <c r="AN16" s="5" t="str">
        <f t="shared" si="1"/>
        <v>- Depreciação e amortização (imob e intang)|DRE|DRE</v>
      </c>
      <c r="AO16" s="5"/>
      <c r="AP16" s="5"/>
      <c r="AQ16" s="6"/>
      <c r="AR16" s="7"/>
      <c r="AS16" s="7"/>
      <c r="AT16" s="7"/>
    </row>
    <row r="17" spans="1:46" ht="35.1" customHeight="1" x14ac:dyDescent="0.25">
      <c r="A17" s="78" t="s">
        <v>43</v>
      </c>
      <c r="B17" s="121">
        <f>IFERROR(SUMIFS(INDEX(rastreabilidade!$F:$H,0,MATCH($B$2,rastreabilidade!$F$1:$H$1,0)),rastreabilidade!$K:$K,$A17,rastreabilidade!$D:$D,"Sim"),0)</f>
        <v>0</v>
      </c>
      <c r="C17" s="35"/>
      <c r="D17" s="24"/>
      <c r="E17" s="121">
        <f>IFERROR(SUMIFS(INDEX(rastreabilidade!$F:$H,0,MATCH(E$3,rastreabilidade!$F$1:$H$1,0)),rastreabilidade!$N:$N,$AM17),0)
+IF($N17="",0,IFERROR(SUMIFS(INDEX(rastreabilidade!$F:$H,0,MATCH(E$3,rastreabilidade!$F$1:$H$1,0)),rastreabilidade!$M:$M,$N17),0))
+IF($O17="",0,IFERROR(SUMIFS(INDEX(rastreabilidade!$F:$H,0,MATCH(E$3,rastreabilidade!$F$1:$H$1,0)),rastreabilidade!$M:$M,$O17),0))
+IF($P17="",0,IFERROR(SUMIFS(INDEX(rastreabilidade!$F:$H,0,MATCH(E$3,rastreabilidade!$F$1:$H$1,0)),rastreabilidade!$M:$M,$P17),0))
+IF($Q17="",0,IFERROR(SUMIFS(INDEX(rastreabilidade!$F:$H,0,MATCH(E$3,rastreabilidade!$F$1:$H$1,0)),rastreabilidade!$M:$M,$Q17),0))
-IF($J17="",0,IFERROR(SUMIFS(INDEX(rastreabilidade!$F:$H,0,MATCH(E$3,rastreabilidade!$F$1:$H$1,0)),rastreabilidade!$M:$M,$J17,rastreabilidade!$N:$N,$AM17),0))
-IF($K17="",0,IFERROR(SUMIFS(INDEX(rastreabilidade!$F:$H,0,MATCH(E$3,rastreabilidade!$F$1:$H$1,0)),rastreabilidade!$M:$M,$K17,rastreabilidade!$N:$N,$AM17),0))
-IF($L17="",0,IFERROR(SUMIFS(INDEX(rastreabilidade!$F:$H,0,MATCH(E$3,rastreabilidade!$F$1:$H$1,0)),rastreabilidade!$M:$M,$L17,rastreabilidade!$N:$N,$AM17),0))
-IF($M17="",0,IFERROR(SUMIFS(INDEX(rastreabilidade!$F:$H,0,MATCH(E$3,rastreabilidade!$F$1:$H$1,0)),rastreabilidade!$M:$M,$M17,rastreabilidade!$N:$N,$AM17),0))</f>
        <v>0</v>
      </c>
      <c r="F17" s="121">
        <f>IFERROR(SUMIFS(INDEX(rastreabilidade!$F:$H,0,MATCH(F$3,rastreabilidade!$F$1:$H$1,0)),rastreabilidade!$N:$N,$AM17),0)
+IF($N17="",0,IFERROR(SUMIFS(INDEX(rastreabilidade!$F:$H,0,MATCH(F$3,rastreabilidade!$F$1:$H$1,0)),rastreabilidade!$M:$M,$N17),0))
+IF($O17="",0,IFERROR(SUMIFS(INDEX(rastreabilidade!$F:$H,0,MATCH(F$3,rastreabilidade!$F$1:$H$1,0)),rastreabilidade!$M:$M,$O17),0))
+IF($P17="",0,IFERROR(SUMIFS(INDEX(rastreabilidade!$F:$H,0,MATCH(F$3,rastreabilidade!$F$1:$H$1,0)),rastreabilidade!$M:$M,$P17),0))
+IF($Q17="",0,IFERROR(SUMIFS(INDEX(rastreabilidade!$F:$H,0,MATCH(F$3,rastreabilidade!$F$1:$H$1,0)),rastreabilidade!$M:$M,$Q17),0))
-IF($J17="",0,IFERROR(SUMIFS(INDEX(rastreabilidade!$F:$H,0,MATCH(F$3,rastreabilidade!$F$1:$H$1,0)),rastreabilidade!$M:$M,$J17,rastreabilidade!$N:$N,$AM17),0))
-IF($K17="",0,IFERROR(SUMIFS(INDEX(rastreabilidade!$F:$H,0,MATCH(F$3,rastreabilidade!$F$1:$H$1,0)),rastreabilidade!$M:$M,$K17,rastreabilidade!$N:$N,$AM17),0))
-IF($L17="",0,IFERROR(SUMIFS(INDEX(rastreabilidade!$F:$H,0,MATCH(F$3,rastreabilidade!$F$1:$H$1,0)),rastreabilidade!$M:$M,$L17,rastreabilidade!$N:$N,$AM17),0))
-IF($M17="",0,IFERROR(SUMIFS(INDEX(rastreabilidade!$F:$H,0,MATCH(F$3,rastreabilidade!$F$1:$H$1,0)),rastreabilidade!$M:$M,$M17,rastreabilidade!$N:$N,$AM17),0))</f>
        <v>0</v>
      </c>
      <c r="G17" s="122">
        <f>IFERROR(SUMIFS(INDEX(rastreabilidade!$F:$H,0,MATCH(G$3,rastreabilidade!$F$1:$H$1,0)),rastreabilidade!$N:$N,$AM17),0)
+IF($N17="",0,IFERROR(SUMIFS(INDEX(rastreabilidade!$F:$H,0,MATCH(G$3,rastreabilidade!$F$1:$H$1,0)),rastreabilidade!$M:$M,$N17),0))
+IF($O17="",0,IFERROR(SUMIFS(INDEX(rastreabilidade!$F:$H,0,MATCH(G$3,rastreabilidade!$F$1:$H$1,0)),rastreabilidade!$M:$M,$O17),0))
+IF($P17="",0,IFERROR(SUMIFS(INDEX(rastreabilidade!$F:$H,0,MATCH(G$3,rastreabilidade!$F$1:$H$1,0)),rastreabilidade!$M:$M,$P17),0))
+IF($Q17="",0,IFERROR(SUMIFS(INDEX(rastreabilidade!$F:$H,0,MATCH(G$3,rastreabilidade!$F$1:$H$1,0)),rastreabilidade!$M:$M,$Q17),0))
-IF($J17="",0,IFERROR(SUMIFS(INDEX(rastreabilidade!$F:$H,0,MATCH(G$3,rastreabilidade!$F$1:$H$1,0)),rastreabilidade!$M:$M,$J17,rastreabilidade!$N:$N,$AM17),0))
-IF($K17="",0,IFERROR(SUMIFS(INDEX(rastreabilidade!$F:$H,0,MATCH(G$3,rastreabilidade!$F$1:$H$1,0)),rastreabilidade!$M:$M,$K17,rastreabilidade!$N:$N,$AM17),0))
-IF($L17="",0,IFERROR(SUMIFS(INDEX(rastreabilidade!$F:$H,0,MATCH(G$3,rastreabilidade!$F$1:$H$1,0)),rastreabilidade!$M:$M,$L17,rastreabilidade!$N:$N,$AM17),0))
-IF($M17="",0,IFERROR(SUMIFS(INDEX(rastreabilidade!$F:$H,0,MATCH(G$3,rastreabilidade!$F$1:$H$1,0)),rastreabilidade!$M:$M,$M17,rastreabilidade!$N:$N,$AM17),0))</f>
        <v>0</v>
      </c>
      <c r="H17" s="40"/>
      <c r="I17" s="155" t="str" cm="1">
        <f t="array" ref="I17">_xlfn.LET(
_xlpm.mem,H17,
_xlpm.retiradas,J17:M17,
_xlpm.adicoes,N17:Q17,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17" s="54"/>
      <c r="K17" s="54"/>
      <c r="L17" s="54"/>
      <c r="M17" s="54"/>
      <c r="N17" s="58"/>
      <c r="O17" s="58"/>
      <c r="P17" s="58"/>
      <c r="Q17" s="108"/>
      <c r="R17" s="4"/>
      <c r="S17" s="101" t="s">
        <v>44</v>
      </c>
      <c r="T17" s="16">
        <f>IFERROR(SUMIFS(INDEX(rastreabilidade!$F:$H,0,MATCH($T$2,rastreabilidade!$F$1:$H$1,0)),rastreabilidade!$K:$K,$S17,rastreabilidade!$D:$D,"Sim"),0)</f>
        <v>0</v>
      </c>
      <c r="U17" s="35"/>
      <c r="V17" s="4"/>
      <c r="W17" s="160">
        <f>IFERROR(SUMIFS(INDEX(rastreabilidade!$F:$H,0,MATCH(W$3,rastreabilidade!$F$1:$H$1,0)),rastreabilidade!$N:$N,$AN17),0)*IF($AB17="sim",-1,1)
+IF($AG17="",0,IFERROR(SUMIFS(INDEX(rastreabilidade!$F:$H,0,MATCH(W$3,rastreabilidade!$F$1:$H$1,0)),rastreabilidade!$M:$M,$AG17),0))
+IF($AH17="",0,IFERROR(SUMIFS(INDEX(rastreabilidade!$F:$H,0,MATCH(W$3,rastreabilidade!$F$1:$H$1,0)),rastreabilidade!$M:$M,$AH17),0))
+IF($AI17="",0,IFERROR(SUMIFS(INDEX(rastreabilidade!$F:$H,0,MATCH(W$3,rastreabilidade!$F$1:$H$1,0)),rastreabilidade!$M:$M,$AI17),0))
+IF($AJ17="",0,IFERROR(SUMIFS(INDEX(rastreabilidade!$F:$H,0,MATCH(W$3,rastreabilidade!$F$1:$H$1,0)),rastreabilidade!$M:$M,$AJ17),0))
-IF($AC17="",0,IFERROR(SUMIFS(INDEX(rastreabilidade!$F:$H,0,MATCH(W$3,rastreabilidade!$F$1:$H$1,0)),rastreabilidade!$M:$M,$AC17,rastreabilidade!$N:$N,$AN17),0))
-IF($AD17="",0,IFERROR(SUMIFS(INDEX(rastreabilidade!$F:$H,0,MATCH(W$3,rastreabilidade!$F$1:$H$1,0)),rastreabilidade!$M:$M,$AD17,rastreabilidade!$N:$N,$AN17),0))
-IF($AE17="",0,IFERROR(SUMIFS(INDEX(rastreabilidade!$F:$H,0,MATCH(W$3,rastreabilidade!$F$1:$H$1,0)),rastreabilidade!$M:$M,$AE17,rastreabilidade!$N:$N,$AN17),0))
-IF($AF17="",0,IFERROR(SUMIFS(INDEX(rastreabilidade!$F:$H,0,MATCH(W$3,rastreabilidade!$F$1:$H$1,0)),rastreabilidade!$M:$M,$AF17,rastreabilidade!$N:$N,$AN17),0))</f>
        <v>0</v>
      </c>
      <c r="X17" s="160">
        <f>IFERROR(SUMIFS(INDEX(rastreabilidade!$F:$H,0,MATCH(X$3,rastreabilidade!$F$1:$H$1,0)),rastreabilidade!$N:$N,$AN17),0)*IF($AB17="sim",-1,1)
+IF($AG17="",0,IFERROR(SUMIFS(INDEX(rastreabilidade!$F:$H,0,MATCH(X$3,rastreabilidade!$F$1:$H$1,0)),rastreabilidade!$M:$M,$AG17),0))
+IF($AH17="",0,IFERROR(SUMIFS(INDEX(rastreabilidade!$F:$H,0,MATCH(X$3,rastreabilidade!$F$1:$H$1,0)),rastreabilidade!$M:$M,$AH17),0))
+IF($AI17="",0,IFERROR(SUMIFS(INDEX(rastreabilidade!$F:$H,0,MATCH(X$3,rastreabilidade!$F$1:$H$1,0)),rastreabilidade!$M:$M,$AI17),0))
+IF($AJ17="",0,IFERROR(SUMIFS(INDEX(rastreabilidade!$F:$H,0,MATCH(X$3,rastreabilidade!$F$1:$H$1,0)),rastreabilidade!$M:$M,$AJ17),0))
-IF($AC17="",0,IFERROR(SUMIFS(INDEX(rastreabilidade!$F:$H,0,MATCH(X$3,rastreabilidade!$F$1:$H$1,0)),rastreabilidade!$M:$M,$AC17,rastreabilidade!$N:$N,$AN17),0))
-IF($AD17="",0,IFERROR(SUMIFS(INDEX(rastreabilidade!$F:$H,0,MATCH(X$3,rastreabilidade!$F$1:$H$1,0)),rastreabilidade!$M:$M,$AD17,rastreabilidade!$N:$N,$AN17),0))
-IF($AE17="",0,IFERROR(SUMIFS(INDEX(rastreabilidade!$F:$H,0,MATCH(X$3,rastreabilidade!$F$1:$H$1,0)),rastreabilidade!$M:$M,$AE17,rastreabilidade!$N:$N,$AN17),0))
-IF($AF17="",0,IFERROR(SUMIFS(INDEX(rastreabilidade!$F:$H,0,MATCH(X$3,rastreabilidade!$F$1:$H$1,0)),rastreabilidade!$M:$M,$AF17,rastreabilidade!$N:$N,$AN17),0))</f>
        <v>0</v>
      </c>
      <c r="Y17" s="160">
        <f>IFERROR(SUMIFS(INDEX(rastreabilidade!$F:$H,0,MATCH(Y$3,rastreabilidade!$F$1:$H$1,0)),rastreabilidade!$N:$N,$AN17),0)*IF($AB17="sim",-1,1)
+IF($AG17="",0,IFERROR(SUMIFS(INDEX(rastreabilidade!$F:$H,0,MATCH(Y$3,rastreabilidade!$F$1:$H$1,0)),rastreabilidade!$M:$M,$AG17),0))
+IF($AH17="",0,IFERROR(SUMIFS(INDEX(rastreabilidade!$F:$H,0,MATCH(Y$3,rastreabilidade!$F$1:$H$1,0)),rastreabilidade!$M:$M,$AH17),0))
+IF($AI17="",0,IFERROR(SUMIFS(INDEX(rastreabilidade!$F:$H,0,MATCH(Y$3,rastreabilidade!$F$1:$H$1,0)),rastreabilidade!$M:$M,$AI17),0))
+IF($AJ17="",0,IFERROR(SUMIFS(INDEX(rastreabilidade!$F:$H,0,MATCH(Y$3,rastreabilidade!$F$1:$H$1,0)),rastreabilidade!$M:$M,$AJ17),0))
-IF($AC17="",0,IFERROR(SUMIFS(INDEX(rastreabilidade!$F:$H,0,MATCH(Y$3,rastreabilidade!$F$1:$H$1,0)),rastreabilidade!$M:$M,$AC17,rastreabilidade!$N:$N,$AN17),0))
-IF($AD17="",0,IFERROR(SUMIFS(INDEX(rastreabilidade!$F:$H,0,MATCH(Y$3,rastreabilidade!$F$1:$H$1,0)),rastreabilidade!$M:$M,$AD17,rastreabilidade!$N:$N,$AN17),0))
-IF($AE17="",0,IFERROR(SUMIFS(INDEX(rastreabilidade!$F:$H,0,MATCH(Y$3,rastreabilidade!$F$1:$H$1,0)),rastreabilidade!$M:$M,$AE17,rastreabilidade!$N:$N,$AN17),0))
-IF($AF17="",0,IFERROR(SUMIFS(INDEX(rastreabilidade!$F:$H,0,MATCH(Y$3,rastreabilidade!$F$1:$H$1,0)),rastreabilidade!$M:$M,$AF17,rastreabilidade!$N:$N,$AN17),0))</f>
        <v>0</v>
      </c>
      <c r="Z17" s="47"/>
      <c r="AA17" s="177" t="str" cm="1">
        <f t="array" ref="AA17">_xlfn.LET(
_xlpm.mem,Z17,
_xlpm.retiradas,AC17:AF17,
_xlpm.adicoes,AG17:AJ17,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17" s="114"/>
      <c r="AC17" s="54"/>
      <c r="AD17" s="54"/>
      <c r="AE17" s="54"/>
      <c r="AF17" s="54"/>
      <c r="AG17" s="58"/>
      <c r="AH17" s="58"/>
      <c r="AI17" s="58"/>
      <c r="AJ17" s="108"/>
      <c r="AL17" s="5"/>
      <c r="AM17" s="5" t="str">
        <f t="shared" si="0"/>
        <v>Adiantamento a Fornecedores|Ativo|Circulante</v>
      </c>
      <c r="AN17" s="5" t="str">
        <f t="shared" si="1"/>
        <v>- Depreciação/Amortização dos Arrendamentos Op.|DRE|DRE</v>
      </c>
      <c r="AO17" s="5"/>
      <c r="AP17" s="5"/>
      <c r="AQ17" s="6"/>
      <c r="AR17" s="7"/>
      <c r="AS17" s="7"/>
      <c r="AT17" s="7"/>
    </row>
    <row r="18" spans="1:46" ht="35.1" customHeight="1" x14ac:dyDescent="0.25">
      <c r="A18" s="78" t="s">
        <v>45</v>
      </c>
      <c r="B18" s="121">
        <f>IFERROR(SUMIFS(INDEX(rastreabilidade!$F:$H,0,MATCH($B$2,rastreabilidade!$F$1:$H$1,0)),rastreabilidade!$K:$K,$A18,rastreabilidade!$D:$D,"Sim"),0)</f>
        <v>0</v>
      </c>
      <c r="C18" s="35"/>
      <c r="D18" s="24"/>
      <c r="E18" s="121">
        <f>IFERROR(SUMIFS(INDEX(rastreabilidade!$F:$H,0,MATCH(E$3,rastreabilidade!$F$1:$H$1,0)),rastreabilidade!$N:$N,$AM18),0)
+IF($N18="",0,IFERROR(SUMIFS(INDEX(rastreabilidade!$F:$H,0,MATCH(E$3,rastreabilidade!$F$1:$H$1,0)),rastreabilidade!$M:$M,$N18),0))
+IF($O18="",0,IFERROR(SUMIFS(INDEX(rastreabilidade!$F:$H,0,MATCH(E$3,rastreabilidade!$F$1:$H$1,0)),rastreabilidade!$M:$M,$O18),0))
+IF($P18="",0,IFERROR(SUMIFS(INDEX(rastreabilidade!$F:$H,0,MATCH(E$3,rastreabilidade!$F$1:$H$1,0)),rastreabilidade!$M:$M,$P18),0))
+IF($Q18="",0,IFERROR(SUMIFS(INDEX(rastreabilidade!$F:$H,0,MATCH(E$3,rastreabilidade!$F$1:$H$1,0)),rastreabilidade!$M:$M,$Q18),0))
-IF($J18="",0,IFERROR(SUMIFS(INDEX(rastreabilidade!$F:$H,0,MATCH(E$3,rastreabilidade!$F$1:$H$1,0)),rastreabilidade!$M:$M,$J18,rastreabilidade!$N:$N,$AM18),0))
-IF($K18="",0,IFERROR(SUMIFS(INDEX(rastreabilidade!$F:$H,0,MATCH(E$3,rastreabilidade!$F$1:$H$1,0)),rastreabilidade!$M:$M,$K18,rastreabilidade!$N:$N,$AM18),0))
-IF($L18="",0,IFERROR(SUMIFS(INDEX(rastreabilidade!$F:$H,0,MATCH(E$3,rastreabilidade!$F$1:$H$1,0)),rastreabilidade!$M:$M,$L18,rastreabilidade!$N:$N,$AM18),0))
-IF($M18="",0,IFERROR(SUMIFS(INDEX(rastreabilidade!$F:$H,0,MATCH(E$3,rastreabilidade!$F$1:$H$1,0)),rastreabilidade!$M:$M,$M18,rastreabilidade!$N:$N,$AM18),0))</f>
        <v>0</v>
      </c>
      <c r="F18" s="121">
        <f>IFERROR(SUMIFS(INDEX(rastreabilidade!$F:$H,0,MATCH(F$3,rastreabilidade!$F$1:$H$1,0)),rastreabilidade!$N:$N,$AM18),0)
+IF($N18="",0,IFERROR(SUMIFS(INDEX(rastreabilidade!$F:$H,0,MATCH(F$3,rastreabilidade!$F$1:$H$1,0)),rastreabilidade!$M:$M,$N18),0))
+IF($O18="",0,IFERROR(SUMIFS(INDEX(rastreabilidade!$F:$H,0,MATCH(F$3,rastreabilidade!$F$1:$H$1,0)),rastreabilidade!$M:$M,$O18),0))
+IF($P18="",0,IFERROR(SUMIFS(INDEX(rastreabilidade!$F:$H,0,MATCH(F$3,rastreabilidade!$F$1:$H$1,0)),rastreabilidade!$M:$M,$P18),0))
+IF($Q18="",0,IFERROR(SUMIFS(INDEX(rastreabilidade!$F:$H,0,MATCH(F$3,rastreabilidade!$F$1:$H$1,0)),rastreabilidade!$M:$M,$Q18),0))
-IF($J18="",0,IFERROR(SUMIFS(INDEX(rastreabilidade!$F:$H,0,MATCH(F$3,rastreabilidade!$F$1:$H$1,0)),rastreabilidade!$M:$M,$J18,rastreabilidade!$N:$N,$AM18),0))
-IF($K18="",0,IFERROR(SUMIFS(INDEX(rastreabilidade!$F:$H,0,MATCH(F$3,rastreabilidade!$F$1:$H$1,0)),rastreabilidade!$M:$M,$K18,rastreabilidade!$N:$N,$AM18),0))
-IF($L18="",0,IFERROR(SUMIFS(INDEX(rastreabilidade!$F:$H,0,MATCH(F$3,rastreabilidade!$F$1:$H$1,0)),rastreabilidade!$M:$M,$L18,rastreabilidade!$N:$N,$AM18),0))
-IF($M18="",0,IFERROR(SUMIFS(INDEX(rastreabilidade!$F:$H,0,MATCH(F$3,rastreabilidade!$F$1:$H$1,0)),rastreabilidade!$M:$M,$M18,rastreabilidade!$N:$N,$AM18),0))</f>
        <v>0</v>
      </c>
      <c r="G18" s="122">
        <f>IFERROR(SUMIFS(INDEX(rastreabilidade!$F:$H,0,MATCH(G$3,rastreabilidade!$F$1:$H$1,0)),rastreabilidade!$N:$N,$AM18),0)
+IF($N18="",0,IFERROR(SUMIFS(INDEX(rastreabilidade!$F:$H,0,MATCH(G$3,rastreabilidade!$F$1:$H$1,0)),rastreabilidade!$M:$M,$N18),0))
+IF($O18="",0,IFERROR(SUMIFS(INDEX(rastreabilidade!$F:$H,0,MATCH(G$3,rastreabilidade!$F$1:$H$1,0)),rastreabilidade!$M:$M,$O18),0))
+IF($P18="",0,IFERROR(SUMIFS(INDEX(rastreabilidade!$F:$H,0,MATCH(G$3,rastreabilidade!$F$1:$H$1,0)),rastreabilidade!$M:$M,$P18),0))
+IF($Q18="",0,IFERROR(SUMIFS(INDEX(rastreabilidade!$F:$H,0,MATCH(G$3,rastreabilidade!$F$1:$H$1,0)),rastreabilidade!$M:$M,$Q18),0))
-IF($J18="",0,IFERROR(SUMIFS(INDEX(rastreabilidade!$F:$H,0,MATCH(G$3,rastreabilidade!$F$1:$H$1,0)),rastreabilidade!$M:$M,$J18,rastreabilidade!$N:$N,$AM18),0))
-IF($K18="",0,IFERROR(SUMIFS(INDEX(rastreabilidade!$F:$H,0,MATCH(G$3,rastreabilidade!$F$1:$H$1,0)),rastreabilidade!$M:$M,$K18,rastreabilidade!$N:$N,$AM18),0))
-IF($L18="",0,IFERROR(SUMIFS(INDEX(rastreabilidade!$F:$H,0,MATCH(G$3,rastreabilidade!$F$1:$H$1,0)),rastreabilidade!$M:$M,$L18,rastreabilidade!$N:$N,$AM18),0))
-IF($M18="",0,IFERROR(SUMIFS(INDEX(rastreabilidade!$F:$H,0,MATCH(G$3,rastreabilidade!$F$1:$H$1,0)),rastreabilidade!$M:$M,$M18,rastreabilidade!$N:$N,$AM18),0))</f>
        <v>0</v>
      </c>
      <c r="H18" s="40"/>
      <c r="I18" s="155" t="str" cm="1">
        <f t="array" ref="I18">_xlfn.LET(
_xlpm.mem,H18,
_xlpm.retiradas,J18:M18,
_xlpm.adicoes,N18:Q18,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18" s="54"/>
      <c r="K18" s="54"/>
      <c r="L18" s="54"/>
      <c r="M18" s="54"/>
      <c r="N18" s="58"/>
      <c r="O18" s="58"/>
      <c r="P18" s="58"/>
      <c r="Q18" s="108"/>
      <c r="R18" s="4"/>
      <c r="S18" s="90" t="s">
        <v>46</v>
      </c>
      <c r="T18" s="14">
        <f>+T15+T16+T17-T14</f>
        <v>0</v>
      </c>
      <c r="U18" s="51"/>
      <c r="V18" s="4"/>
      <c r="W18" s="159">
        <f>+W15+W16+W17-W14</f>
        <v>0</v>
      </c>
      <c r="X18" s="159">
        <f>+X15+X16+X17-X14</f>
        <v>0</v>
      </c>
      <c r="Y18" s="159">
        <f>+Y15+Y16+Y17-Y14</f>
        <v>0</v>
      </c>
      <c r="Z18" s="47"/>
      <c r="AA18" s="51"/>
      <c r="AB18" s="115"/>
      <c r="AC18" s="51"/>
      <c r="AD18" s="51"/>
      <c r="AE18" s="51"/>
      <c r="AF18" s="51"/>
      <c r="AG18" s="51"/>
      <c r="AH18" s="51"/>
      <c r="AI18" s="51"/>
      <c r="AJ18" s="105"/>
      <c r="AL18" s="5"/>
      <c r="AM18" s="5" t="str">
        <f t="shared" si="0"/>
        <v>Mútuo Financeiro|Ativo|Circulante</v>
      </c>
      <c r="AN18" s="5" t="str">
        <f t="shared" si="1"/>
        <v>EBITDA|DRE|DRE</v>
      </c>
      <c r="AO18" s="5"/>
      <c r="AP18" s="5"/>
      <c r="AQ18" s="6"/>
      <c r="AR18" s="7"/>
      <c r="AS18" s="7"/>
      <c r="AT18" s="7"/>
    </row>
    <row r="19" spans="1:46" ht="35.1" customHeight="1" x14ac:dyDescent="0.25">
      <c r="A19" s="78" t="s">
        <v>47</v>
      </c>
      <c r="B19" s="121">
        <f>IFERROR(SUMIFS(INDEX(rastreabilidade!$F:$H,0,MATCH($B$2,rastreabilidade!$F$1:$H$1,0)),rastreabilidade!$K:$K,$A19,rastreabilidade!$D:$D,"Sim"),0)</f>
        <v>0</v>
      </c>
      <c r="C19" s="35"/>
      <c r="D19" s="24"/>
      <c r="E19" s="121">
        <f>IFERROR(SUMIFS(INDEX(rastreabilidade!$F:$H,0,MATCH(E$3,rastreabilidade!$F$1:$H$1,0)),rastreabilidade!$N:$N,$AM19),0)
+IF($N19="",0,IFERROR(SUMIFS(INDEX(rastreabilidade!$F:$H,0,MATCH(E$3,rastreabilidade!$F$1:$H$1,0)),rastreabilidade!$M:$M,$N19),0))
+IF($O19="",0,IFERROR(SUMIFS(INDEX(rastreabilidade!$F:$H,0,MATCH(E$3,rastreabilidade!$F$1:$H$1,0)),rastreabilidade!$M:$M,$O19),0))
+IF($P19="",0,IFERROR(SUMIFS(INDEX(rastreabilidade!$F:$H,0,MATCH(E$3,rastreabilidade!$F$1:$H$1,0)),rastreabilidade!$M:$M,$P19),0))
+IF($Q19="",0,IFERROR(SUMIFS(INDEX(rastreabilidade!$F:$H,0,MATCH(E$3,rastreabilidade!$F$1:$H$1,0)),rastreabilidade!$M:$M,$Q19),0))
-IF($J19="",0,IFERROR(SUMIFS(INDEX(rastreabilidade!$F:$H,0,MATCH(E$3,rastreabilidade!$F$1:$H$1,0)),rastreabilidade!$M:$M,$J19,rastreabilidade!$N:$N,$AM19),0))
-IF($K19="",0,IFERROR(SUMIFS(INDEX(rastreabilidade!$F:$H,0,MATCH(E$3,rastreabilidade!$F$1:$H$1,0)),rastreabilidade!$M:$M,$K19,rastreabilidade!$N:$N,$AM19),0))
-IF($L19="",0,IFERROR(SUMIFS(INDEX(rastreabilidade!$F:$H,0,MATCH(E$3,rastreabilidade!$F$1:$H$1,0)),rastreabilidade!$M:$M,$L19,rastreabilidade!$N:$N,$AM19),0))
-IF($M19="",0,IFERROR(SUMIFS(INDEX(rastreabilidade!$F:$H,0,MATCH(E$3,rastreabilidade!$F$1:$H$1,0)),rastreabilidade!$M:$M,$M19,rastreabilidade!$N:$N,$AM19),0))</f>
        <v>0</v>
      </c>
      <c r="F19" s="121">
        <f>IFERROR(SUMIFS(INDEX(rastreabilidade!$F:$H,0,MATCH(F$3,rastreabilidade!$F$1:$H$1,0)),rastreabilidade!$N:$N,$AM19),0)
+IF($N19="",0,IFERROR(SUMIFS(INDEX(rastreabilidade!$F:$H,0,MATCH(F$3,rastreabilidade!$F$1:$H$1,0)),rastreabilidade!$M:$M,$N19),0))
+IF($O19="",0,IFERROR(SUMIFS(INDEX(rastreabilidade!$F:$H,0,MATCH(F$3,rastreabilidade!$F$1:$H$1,0)),rastreabilidade!$M:$M,$O19),0))
+IF($P19="",0,IFERROR(SUMIFS(INDEX(rastreabilidade!$F:$H,0,MATCH(F$3,rastreabilidade!$F$1:$H$1,0)),rastreabilidade!$M:$M,$P19),0))
+IF($Q19="",0,IFERROR(SUMIFS(INDEX(rastreabilidade!$F:$H,0,MATCH(F$3,rastreabilidade!$F$1:$H$1,0)),rastreabilidade!$M:$M,$Q19),0))
-IF($J19="",0,IFERROR(SUMIFS(INDEX(rastreabilidade!$F:$H,0,MATCH(F$3,rastreabilidade!$F$1:$H$1,0)),rastreabilidade!$M:$M,$J19,rastreabilidade!$N:$N,$AM19),0))
-IF($K19="",0,IFERROR(SUMIFS(INDEX(rastreabilidade!$F:$H,0,MATCH(F$3,rastreabilidade!$F$1:$H$1,0)),rastreabilidade!$M:$M,$K19,rastreabilidade!$N:$N,$AM19),0))
-IF($L19="",0,IFERROR(SUMIFS(INDEX(rastreabilidade!$F:$H,0,MATCH(F$3,rastreabilidade!$F$1:$H$1,0)),rastreabilidade!$M:$M,$L19,rastreabilidade!$N:$N,$AM19),0))
-IF($M19="",0,IFERROR(SUMIFS(INDEX(rastreabilidade!$F:$H,0,MATCH(F$3,rastreabilidade!$F$1:$H$1,0)),rastreabilidade!$M:$M,$M19,rastreabilidade!$N:$N,$AM19),0))</f>
        <v>0</v>
      </c>
      <c r="G19" s="122">
        <f>IFERROR(SUMIFS(INDEX(rastreabilidade!$F:$H,0,MATCH(G$3,rastreabilidade!$F$1:$H$1,0)),rastreabilidade!$N:$N,$AM19),0)
+IF($N19="",0,IFERROR(SUMIFS(INDEX(rastreabilidade!$F:$H,0,MATCH(G$3,rastreabilidade!$F$1:$H$1,0)),rastreabilidade!$M:$M,$N19),0))
+IF($O19="",0,IFERROR(SUMIFS(INDEX(rastreabilidade!$F:$H,0,MATCH(G$3,rastreabilidade!$F$1:$H$1,0)),rastreabilidade!$M:$M,$O19),0))
+IF($P19="",0,IFERROR(SUMIFS(INDEX(rastreabilidade!$F:$H,0,MATCH(G$3,rastreabilidade!$F$1:$H$1,0)),rastreabilidade!$M:$M,$P19),0))
+IF($Q19="",0,IFERROR(SUMIFS(INDEX(rastreabilidade!$F:$H,0,MATCH(G$3,rastreabilidade!$F$1:$H$1,0)),rastreabilidade!$M:$M,$Q19),0))
-IF($J19="",0,IFERROR(SUMIFS(INDEX(rastreabilidade!$F:$H,0,MATCH(G$3,rastreabilidade!$F$1:$H$1,0)),rastreabilidade!$M:$M,$J19,rastreabilidade!$N:$N,$AM19),0))
-IF($K19="",0,IFERROR(SUMIFS(INDEX(rastreabilidade!$F:$H,0,MATCH(G$3,rastreabilidade!$F$1:$H$1,0)),rastreabilidade!$M:$M,$K19,rastreabilidade!$N:$N,$AM19),0))
-IF($L19="",0,IFERROR(SUMIFS(INDEX(rastreabilidade!$F:$H,0,MATCH(G$3,rastreabilidade!$F$1:$H$1,0)),rastreabilidade!$M:$M,$L19,rastreabilidade!$N:$N,$AM19),0))
-IF($M19="",0,IFERROR(SUMIFS(INDEX(rastreabilidade!$F:$H,0,MATCH(G$3,rastreabilidade!$F$1:$H$1,0)),rastreabilidade!$M:$M,$M19,rastreabilidade!$N:$N,$AM19),0))</f>
        <v>0</v>
      </c>
      <c r="H19" s="40"/>
      <c r="I19" s="155" t="str" cm="1">
        <f t="array" ref="I19">_xlfn.LET(
_xlpm.mem,H19,
_xlpm.retiradas,J19:M19,
_xlpm.adicoes,N19:Q19,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19" s="54"/>
      <c r="K19" s="54"/>
      <c r="L19" s="54"/>
      <c r="M19" s="54"/>
      <c r="N19" s="58"/>
      <c r="O19" s="58"/>
      <c r="P19" s="58"/>
      <c r="Q19" s="108"/>
      <c r="R19" s="4"/>
      <c r="S19" s="102" t="s">
        <v>48</v>
      </c>
      <c r="T19" s="109">
        <f>IFERROR(SUMIFS(INDEX(rastreabilidade!$F:$H,0,MATCH($T$2,rastreabilidade!$F$1:$H$1,0)),rastreabilidade!$K:$K,$S19,rastreabilidade!$D:$D,"Sim"),0)</f>
        <v>0</v>
      </c>
      <c r="U19" s="35"/>
      <c r="V19" s="4"/>
      <c r="W19" s="161">
        <f>IFERROR(SUMIFS(INDEX(rastreabilidade!$F:$H,0,MATCH(W$3,rastreabilidade!$F$1:$H$1,0)),rastreabilidade!$N:$N,$AN19),0)*IF($AB19="sim",-1,1)
+IF($AG19="",0,IFERROR(SUMIFS(INDEX(rastreabilidade!$F:$H,0,MATCH(W$3,rastreabilidade!$F$1:$H$1,0)),rastreabilidade!$M:$M,$AG19),0))
+IF($AH19="",0,IFERROR(SUMIFS(INDEX(rastreabilidade!$F:$H,0,MATCH(W$3,rastreabilidade!$F$1:$H$1,0)),rastreabilidade!$M:$M,$AH19),0))
+IF($AI19="",0,IFERROR(SUMIFS(INDEX(rastreabilidade!$F:$H,0,MATCH(W$3,rastreabilidade!$F$1:$H$1,0)),rastreabilidade!$M:$M,$AI19),0))
+IF($AJ19="",0,IFERROR(SUMIFS(INDEX(rastreabilidade!$F:$H,0,MATCH(W$3,rastreabilidade!$F$1:$H$1,0)),rastreabilidade!$M:$M,$AJ19),0))
-IF($AC19="",0,IFERROR(SUMIFS(INDEX(rastreabilidade!$F:$H,0,MATCH(W$3,rastreabilidade!$F$1:$H$1,0)),rastreabilidade!$M:$M,$AC19,rastreabilidade!$N:$N,$AN19),0))
-IF($AD19="",0,IFERROR(SUMIFS(INDEX(rastreabilidade!$F:$H,0,MATCH(W$3,rastreabilidade!$F$1:$H$1,0)),rastreabilidade!$M:$M,$AD19,rastreabilidade!$N:$N,$AN19),0))
-IF($AE19="",0,IFERROR(SUMIFS(INDEX(rastreabilidade!$F:$H,0,MATCH(W$3,rastreabilidade!$F$1:$H$1,0)),rastreabilidade!$M:$M,$AE19,rastreabilidade!$N:$N,$AN19),0))
-IF($AF19="",0,IFERROR(SUMIFS(INDEX(rastreabilidade!$F:$H,0,MATCH(W$3,rastreabilidade!$F$1:$H$1,0)),rastreabilidade!$M:$M,$AF19,rastreabilidade!$N:$N,$AN19),0))</f>
        <v>0</v>
      </c>
      <c r="X19" s="161">
        <f>IFERROR(SUMIFS(INDEX(rastreabilidade!$F:$H,0,MATCH(X$3,rastreabilidade!$F$1:$H$1,0)),rastreabilidade!$N:$N,$AN19),0)*IF($AB19="sim",-1,1)
+IF($AG19="",0,IFERROR(SUMIFS(INDEX(rastreabilidade!$F:$H,0,MATCH(X$3,rastreabilidade!$F$1:$H$1,0)),rastreabilidade!$M:$M,$AG19),0))
+IF($AH19="",0,IFERROR(SUMIFS(INDEX(rastreabilidade!$F:$H,0,MATCH(X$3,rastreabilidade!$F$1:$H$1,0)),rastreabilidade!$M:$M,$AH19),0))
+IF($AI19="",0,IFERROR(SUMIFS(INDEX(rastreabilidade!$F:$H,0,MATCH(X$3,rastreabilidade!$F$1:$H$1,0)),rastreabilidade!$M:$M,$AI19),0))
+IF($AJ19="",0,IFERROR(SUMIFS(INDEX(rastreabilidade!$F:$H,0,MATCH(X$3,rastreabilidade!$F$1:$H$1,0)),rastreabilidade!$M:$M,$AJ19),0))
-IF($AC19="",0,IFERROR(SUMIFS(INDEX(rastreabilidade!$F:$H,0,MATCH(X$3,rastreabilidade!$F$1:$H$1,0)),rastreabilidade!$M:$M,$AC19,rastreabilidade!$N:$N,$AN19),0))
-IF($AD19="",0,IFERROR(SUMIFS(INDEX(rastreabilidade!$F:$H,0,MATCH(X$3,rastreabilidade!$F$1:$H$1,0)),rastreabilidade!$M:$M,$AD19,rastreabilidade!$N:$N,$AN19),0))
-IF($AE19="",0,IFERROR(SUMIFS(INDEX(rastreabilidade!$F:$H,0,MATCH(X$3,rastreabilidade!$F$1:$H$1,0)),rastreabilidade!$M:$M,$AE19,rastreabilidade!$N:$N,$AN19),0))
-IF($AF19="",0,IFERROR(SUMIFS(INDEX(rastreabilidade!$F:$H,0,MATCH(X$3,rastreabilidade!$F$1:$H$1,0)),rastreabilidade!$M:$M,$AF19,rastreabilidade!$N:$N,$AN19),0))</f>
        <v>0</v>
      </c>
      <c r="Y19" s="161">
        <f>IFERROR(SUMIFS(INDEX(rastreabilidade!$F:$H,0,MATCH(Y$3,rastreabilidade!$F$1:$H$1,0)),rastreabilidade!$N:$N,$AN19),0)*IF($AB19="sim",-1,1)
+IF($AG19="",0,IFERROR(SUMIFS(INDEX(rastreabilidade!$F:$H,0,MATCH(Y$3,rastreabilidade!$F$1:$H$1,0)),rastreabilidade!$M:$M,$AG19),0))
+IF($AH19="",0,IFERROR(SUMIFS(INDEX(rastreabilidade!$F:$H,0,MATCH(Y$3,rastreabilidade!$F$1:$H$1,0)),rastreabilidade!$M:$M,$AH19),0))
+IF($AI19="",0,IFERROR(SUMIFS(INDEX(rastreabilidade!$F:$H,0,MATCH(Y$3,rastreabilidade!$F$1:$H$1,0)),rastreabilidade!$M:$M,$AI19),0))
+IF($AJ19="",0,IFERROR(SUMIFS(INDEX(rastreabilidade!$F:$H,0,MATCH(Y$3,rastreabilidade!$F$1:$H$1,0)),rastreabilidade!$M:$M,$AJ19),0))
-IF($AC19="",0,IFERROR(SUMIFS(INDEX(rastreabilidade!$F:$H,0,MATCH(Y$3,rastreabilidade!$F$1:$H$1,0)),rastreabilidade!$M:$M,$AC19,rastreabilidade!$N:$N,$AN19),0))
-IF($AD19="",0,IFERROR(SUMIFS(INDEX(rastreabilidade!$F:$H,0,MATCH(Y$3,rastreabilidade!$F$1:$H$1,0)),rastreabilidade!$M:$M,$AD19,rastreabilidade!$N:$N,$AN19),0))
-IF($AE19="",0,IFERROR(SUMIFS(INDEX(rastreabilidade!$F:$H,0,MATCH(Y$3,rastreabilidade!$F$1:$H$1,0)),rastreabilidade!$M:$M,$AE19,rastreabilidade!$N:$N,$AN19),0))
-IF($AF19="",0,IFERROR(SUMIFS(INDEX(rastreabilidade!$F:$H,0,MATCH(Y$3,rastreabilidade!$F$1:$H$1,0)),rastreabilidade!$M:$M,$AF19,rastreabilidade!$N:$N,$AN19),0))</f>
        <v>0</v>
      </c>
      <c r="Z19" s="47"/>
      <c r="AA19" s="177" t="str" cm="1">
        <f t="array" ref="AA19">_xlfn.LET(
_xlpm.mem,Z19,
_xlpm.retiradas,AC19:AF19,
_xlpm.adicoes,AG19:AJ19,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19" s="114"/>
      <c r="AC19" s="54"/>
      <c r="AD19" s="54"/>
      <c r="AE19" s="54"/>
      <c r="AF19" s="54"/>
      <c r="AG19" s="58"/>
      <c r="AH19" s="58"/>
      <c r="AI19" s="58"/>
      <c r="AJ19" s="108"/>
      <c r="AL19" s="5"/>
      <c r="AM19" s="5" t="str">
        <f t="shared" si="0"/>
        <v>Impostos a Recuperar|Ativo|Circulante</v>
      </c>
      <c r="AN19" s="5" t="str">
        <f t="shared" si="1"/>
        <v>- Despesas/Custo de Aluguel|DRE|DRE</v>
      </c>
      <c r="AO19" s="5"/>
      <c r="AP19" s="5"/>
      <c r="AQ19" s="6"/>
      <c r="AR19" s="7"/>
      <c r="AS19" s="7"/>
      <c r="AT19" s="7"/>
    </row>
    <row r="20" spans="1:46" ht="35.1" customHeight="1" x14ac:dyDescent="0.25">
      <c r="A20" s="117" t="s">
        <v>49</v>
      </c>
      <c r="B20" s="121">
        <f>IFERROR(SUMIFS(INDEX(rastreabilidade!$F:$H,0,MATCH($B$2,rastreabilidade!$F$1:$H$1,0)),rastreabilidade!$K:$K,$A20,rastreabilidade!$D:$D,"Sim"),0)</f>
        <v>0</v>
      </c>
      <c r="C20" s="35"/>
      <c r="D20" s="24"/>
      <c r="E20" s="121">
        <f>IFERROR(SUMIFS(INDEX(rastreabilidade!$F:$H,0,MATCH(E$3,rastreabilidade!$F$1:$H$1,0)),rastreabilidade!$N:$N,$AM20),0)
+IF($N20="",0,IFERROR(SUMIFS(INDEX(rastreabilidade!$F:$H,0,MATCH(E$3,rastreabilidade!$F$1:$H$1,0)),rastreabilidade!$M:$M,$N20),0))
+IF($O20="",0,IFERROR(SUMIFS(INDEX(rastreabilidade!$F:$H,0,MATCH(E$3,rastreabilidade!$F$1:$H$1,0)),rastreabilidade!$M:$M,$O20),0))
+IF($P20="",0,IFERROR(SUMIFS(INDEX(rastreabilidade!$F:$H,0,MATCH(E$3,rastreabilidade!$F$1:$H$1,0)),rastreabilidade!$M:$M,$P20),0))
+IF($Q20="",0,IFERROR(SUMIFS(INDEX(rastreabilidade!$F:$H,0,MATCH(E$3,rastreabilidade!$F$1:$H$1,0)),rastreabilidade!$M:$M,$Q20),0))
-IF($J20="",0,IFERROR(SUMIFS(INDEX(rastreabilidade!$F:$H,0,MATCH(E$3,rastreabilidade!$F$1:$H$1,0)),rastreabilidade!$M:$M,$J20,rastreabilidade!$N:$N,$AM20),0))
-IF($K20="",0,IFERROR(SUMIFS(INDEX(rastreabilidade!$F:$H,0,MATCH(E$3,rastreabilidade!$F$1:$H$1,0)),rastreabilidade!$M:$M,$K20,rastreabilidade!$N:$N,$AM20),0))
-IF($L20="",0,IFERROR(SUMIFS(INDEX(rastreabilidade!$F:$H,0,MATCH(E$3,rastreabilidade!$F$1:$H$1,0)),rastreabilidade!$M:$M,$L20,rastreabilidade!$N:$N,$AM20),0))
-IF($M20="",0,IFERROR(SUMIFS(INDEX(rastreabilidade!$F:$H,0,MATCH(E$3,rastreabilidade!$F$1:$H$1,0)),rastreabilidade!$M:$M,$M20,rastreabilidade!$N:$N,$AM20),0))</f>
        <v>0</v>
      </c>
      <c r="F20" s="121">
        <f>IFERROR(SUMIFS(INDEX(rastreabilidade!$F:$H,0,MATCH(F$3,rastreabilidade!$F$1:$H$1,0)),rastreabilidade!$N:$N,$AM20),0)
+IF($N20="",0,IFERROR(SUMIFS(INDEX(rastreabilidade!$F:$H,0,MATCH(F$3,rastreabilidade!$F$1:$H$1,0)),rastreabilidade!$M:$M,$N20),0))
+IF($O20="",0,IFERROR(SUMIFS(INDEX(rastreabilidade!$F:$H,0,MATCH(F$3,rastreabilidade!$F$1:$H$1,0)),rastreabilidade!$M:$M,$O20),0))
+IF($P20="",0,IFERROR(SUMIFS(INDEX(rastreabilidade!$F:$H,0,MATCH(F$3,rastreabilidade!$F$1:$H$1,0)),rastreabilidade!$M:$M,$P20),0))
+IF($Q20="",0,IFERROR(SUMIFS(INDEX(rastreabilidade!$F:$H,0,MATCH(F$3,rastreabilidade!$F$1:$H$1,0)),rastreabilidade!$M:$M,$Q20),0))
-IF($J20="",0,IFERROR(SUMIFS(INDEX(rastreabilidade!$F:$H,0,MATCH(F$3,rastreabilidade!$F$1:$H$1,0)),rastreabilidade!$M:$M,$J20,rastreabilidade!$N:$N,$AM20),0))
-IF($K20="",0,IFERROR(SUMIFS(INDEX(rastreabilidade!$F:$H,0,MATCH(F$3,rastreabilidade!$F$1:$H$1,0)),rastreabilidade!$M:$M,$K20,rastreabilidade!$N:$N,$AM20),0))
-IF($L20="",0,IFERROR(SUMIFS(INDEX(rastreabilidade!$F:$H,0,MATCH(F$3,rastreabilidade!$F$1:$H$1,0)),rastreabilidade!$M:$M,$L20,rastreabilidade!$N:$N,$AM20),0))
-IF($M20="",0,IFERROR(SUMIFS(INDEX(rastreabilidade!$F:$H,0,MATCH(F$3,rastreabilidade!$F$1:$H$1,0)),rastreabilidade!$M:$M,$M20,rastreabilidade!$N:$N,$AM20),0))</f>
        <v>0</v>
      </c>
      <c r="G20" s="122">
        <f>IFERROR(SUMIFS(INDEX(rastreabilidade!$F:$H,0,MATCH(G$3,rastreabilidade!$F$1:$H$1,0)),rastreabilidade!$N:$N,$AM20),0)
+IF($N20="",0,IFERROR(SUMIFS(INDEX(rastreabilidade!$F:$H,0,MATCH(G$3,rastreabilidade!$F$1:$H$1,0)),rastreabilidade!$M:$M,$N20),0))
+IF($O20="",0,IFERROR(SUMIFS(INDEX(rastreabilidade!$F:$H,0,MATCH(G$3,rastreabilidade!$F$1:$H$1,0)),rastreabilidade!$M:$M,$O20),0))
+IF($P20="",0,IFERROR(SUMIFS(INDEX(rastreabilidade!$F:$H,0,MATCH(G$3,rastreabilidade!$F$1:$H$1,0)),rastreabilidade!$M:$M,$P20),0))
+IF($Q20="",0,IFERROR(SUMIFS(INDEX(rastreabilidade!$F:$H,0,MATCH(G$3,rastreabilidade!$F$1:$H$1,0)),rastreabilidade!$M:$M,$Q20),0))
-IF($J20="",0,IFERROR(SUMIFS(INDEX(rastreabilidade!$F:$H,0,MATCH(G$3,rastreabilidade!$F$1:$H$1,0)),rastreabilidade!$M:$M,$J20,rastreabilidade!$N:$N,$AM20),0))
-IF($K20="",0,IFERROR(SUMIFS(INDEX(rastreabilidade!$F:$H,0,MATCH(G$3,rastreabilidade!$F$1:$H$1,0)),rastreabilidade!$M:$M,$K20,rastreabilidade!$N:$N,$AM20),0))
-IF($L20="",0,IFERROR(SUMIFS(INDEX(rastreabilidade!$F:$H,0,MATCH(G$3,rastreabilidade!$F$1:$H$1,0)),rastreabilidade!$M:$M,$L20,rastreabilidade!$N:$N,$AM20),0))
-IF($M20="",0,IFERROR(SUMIFS(INDEX(rastreabilidade!$F:$H,0,MATCH(G$3,rastreabilidade!$F$1:$H$1,0)),rastreabilidade!$M:$M,$M20,rastreabilidade!$N:$N,$AM20),0))</f>
        <v>0</v>
      </c>
      <c r="H20" s="40"/>
      <c r="I20" s="155" t="str" cm="1">
        <f t="array" ref="I20">_xlfn.LET(
_xlpm.mem,H20,
_xlpm.retiradas,J20:M20,
_xlpm.adicoes,N20:Q20,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20" s="54"/>
      <c r="K20" s="54"/>
      <c r="L20" s="54"/>
      <c r="M20" s="54"/>
      <c r="N20" s="58"/>
      <c r="O20" s="58"/>
      <c r="P20" s="58"/>
      <c r="Q20" s="108"/>
      <c r="R20" s="4"/>
      <c r="S20" s="90" t="s">
        <v>50</v>
      </c>
      <c r="T20" s="14">
        <f>+T18+T19</f>
        <v>0</v>
      </c>
      <c r="U20" s="51"/>
      <c r="V20" s="4"/>
      <c r="W20" s="159">
        <f>+W18+W19</f>
        <v>0</v>
      </c>
      <c r="X20" s="159">
        <f>+X18+X19</f>
        <v>0</v>
      </c>
      <c r="Y20" s="159">
        <f>+Y18+Y19</f>
        <v>0</v>
      </c>
      <c r="Z20" s="47"/>
      <c r="AA20" s="51"/>
      <c r="AB20" s="115"/>
      <c r="AC20" s="51"/>
      <c r="AD20" s="51"/>
      <c r="AE20" s="51"/>
      <c r="AF20" s="51"/>
      <c r="AG20" s="51"/>
      <c r="AH20" s="51"/>
      <c r="AI20" s="51"/>
      <c r="AJ20" s="105"/>
      <c r="AL20" s="5"/>
      <c r="AM20" s="5" t="str">
        <f t="shared" si="0"/>
        <v>Outros Operacionais (AC)|Ativo|Circulante</v>
      </c>
      <c r="AN20" s="5" t="str">
        <f t="shared" si="1"/>
        <v>EBITDA ex-IFRS16|DRE|DRE</v>
      </c>
      <c r="AO20" s="5"/>
      <c r="AP20" s="5"/>
      <c r="AQ20" s="6"/>
      <c r="AR20" s="7"/>
      <c r="AS20" s="7"/>
      <c r="AT20" s="7"/>
    </row>
    <row r="21" spans="1:46" ht="35.1" customHeight="1" x14ac:dyDescent="0.25">
      <c r="A21" s="117" t="s">
        <v>51</v>
      </c>
      <c r="B21" s="127">
        <f>IFERROR(SUMIFS(INDEX(rastreabilidade!$F:$H,0,MATCH($B$2,rastreabilidade!$F$1:$H$1,0)),rastreabilidade!$K:$K,$A21,rastreabilidade!$D:$D,"Sim"),0)</f>
        <v>0</v>
      </c>
      <c r="C21" s="35"/>
      <c r="D21" s="4"/>
      <c r="E21" s="127">
        <f>IFERROR(SUMIFS(INDEX(rastreabilidade!$F:$H,0,MATCH(E$3,rastreabilidade!$F$1:$H$1,0)),rastreabilidade!$N:$N,$AM21),0)
+IF($N21="",0,IFERROR(SUMIFS(INDEX(rastreabilidade!$F:$H,0,MATCH(E$3,rastreabilidade!$F$1:$H$1,0)),rastreabilidade!$M:$M,$N21),0))
+IF($O21="",0,IFERROR(SUMIFS(INDEX(rastreabilidade!$F:$H,0,MATCH(E$3,rastreabilidade!$F$1:$H$1,0)),rastreabilidade!$M:$M,$O21),0))
+IF($P21="",0,IFERROR(SUMIFS(INDEX(rastreabilidade!$F:$H,0,MATCH(E$3,rastreabilidade!$F$1:$H$1,0)),rastreabilidade!$M:$M,$P21),0))
+IF($Q21="",0,IFERROR(SUMIFS(INDEX(rastreabilidade!$F:$H,0,MATCH(E$3,rastreabilidade!$F$1:$H$1,0)),rastreabilidade!$M:$M,$Q21),0))
-IF($J21="",0,IFERROR(SUMIFS(INDEX(rastreabilidade!$F:$H,0,MATCH(E$3,rastreabilidade!$F$1:$H$1,0)),rastreabilidade!$M:$M,$J21,rastreabilidade!$N:$N,$AM21),0))
-IF($K21="",0,IFERROR(SUMIFS(INDEX(rastreabilidade!$F:$H,0,MATCH(E$3,rastreabilidade!$F$1:$H$1,0)),rastreabilidade!$M:$M,$K21,rastreabilidade!$N:$N,$AM21),0))
-IF($L21="",0,IFERROR(SUMIFS(INDEX(rastreabilidade!$F:$H,0,MATCH(E$3,rastreabilidade!$F$1:$H$1,0)),rastreabilidade!$M:$M,$L21,rastreabilidade!$N:$N,$AM21),0))
-IF($M21="",0,IFERROR(SUMIFS(INDEX(rastreabilidade!$F:$H,0,MATCH(E$3,rastreabilidade!$F$1:$H$1,0)),rastreabilidade!$M:$M,$M21,rastreabilidade!$N:$N,$AM21),0))</f>
        <v>0</v>
      </c>
      <c r="F21" s="127">
        <f>IFERROR(SUMIFS(INDEX(rastreabilidade!$F:$H,0,MATCH(F$3,rastreabilidade!$F$1:$H$1,0)),rastreabilidade!$N:$N,$AM21),0)
+IF($N21="",0,IFERROR(SUMIFS(INDEX(rastreabilidade!$F:$H,0,MATCH(F$3,rastreabilidade!$F$1:$H$1,0)),rastreabilidade!$M:$M,$N21),0))
+IF($O21="",0,IFERROR(SUMIFS(INDEX(rastreabilidade!$F:$H,0,MATCH(F$3,rastreabilidade!$F$1:$H$1,0)),rastreabilidade!$M:$M,$O21),0))
+IF($P21="",0,IFERROR(SUMIFS(INDEX(rastreabilidade!$F:$H,0,MATCH(F$3,rastreabilidade!$F$1:$H$1,0)),rastreabilidade!$M:$M,$P21),0))
+IF($Q21="",0,IFERROR(SUMIFS(INDEX(rastreabilidade!$F:$H,0,MATCH(F$3,rastreabilidade!$F$1:$H$1,0)),rastreabilidade!$M:$M,$Q21),0))
-IF($J21="",0,IFERROR(SUMIFS(INDEX(rastreabilidade!$F:$H,0,MATCH(F$3,rastreabilidade!$F$1:$H$1,0)),rastreabilidade!$M:$M,$J21,rastreabilidade!$N:$N,$AM21),0))
-IF($K21="",0,IFERROR(SUMIFS(INDEX(rastreabilidade!$F:$H,0,MATCH(F$3,rastreabilidade!$F$1:$H$1,0)),rastreabilidade!$M:$M,$K21,rastreabilidade!$N:$N,$AM21),0))
-IF($L21="",0,IFERROR(SUMIFS(INDEX(rastreabilidade!$F:$H,0,MATCH(F$3,rastreabilidade!$F$1:$H$1,0)),rastreabilidade!$M:$M,$L21,rastreabilidade!$N:$N,$AM21),0))
-IF($M21="",0,IFERROR(SUMIFS(INDEX(rastreabilidade!$F:$H,0,MATCH(F$3,rastreabilidade!$F$1:$H$1,0)),rastreabilidade!$M:$M,$M21,rastreabilidade!$N:$N,$AM21),0))</f>
        <v>0</v>
      </c>
      <c r="G21" s="128">
        <f>IFERROR(SUMIFS(INDEX(rastreabilidade!$F:$H,0,MATCH(G$3,rastreabilidade!$F$1:$H$1,0)),rastreabilidade!$N:$N,$AM21),0)
+IF($N21="",0,IFERROR(SUMIFS(INDEX(rastreabilidade!$F:$H,0,MATCH(G$3,rastreabilidade!$F$1:$H$1,0)),rastreabilidade!$M:$M,$N21),0))
+IF($O21="",0,IFERROR(SUMIFS(INDEX(rastreabilidade!$F:$H,0,MATCH(G$3,rastreabilidade!$F$1:$H$1,0)),rastreabilidade!$M:$M,$O21),0))
+IF($P21="",0,IFERROR(SUMIFS(INDEX(rastreabilidade!$F:$H,0,MATCH(G$3,rastreabilidade!$F$1:$H$1,0)),rastreabilidade!$M:$M,$P21),0))
+IF($Q21="",0,IFERROR(SUMIFS(INDEX(rastreabilidade!$F:$H,0,MATCH(G$3,rastreabilidade!$F$1:$H$1,0)),rastreabilidade!$M:$M,$Q21),0))
-IF($J21="",0,IFERROR(SUMIFS(INDEX(rastreabilidade!$F:$H,0,MATCH(G$3,rastreabilidade!$F$1:$H$1,0)),rastreabilidade!$M:$M,$J21,rastreabilidade!$N:$N,$AM21),0))
-IF($K21="",0,IFERROR(SUMIFS(INDEX(rastreabilidade!$F:$H,0,MATCH(G$3,rastreabilidade!$F$1:$H$1,0)),rastreabilidade!$M:$M,$K21,rastreabilidade!$N:$N,$AM21),0))
-IF($L21="",0,IFERROR(SUMIFS(INDEX(rastreabilidade!$F:$H,0,MATCH(G$3,rastreabilidade!$F$1:$H$1,0)),rastreabilidade!$M:$M,$L21,rastreabilidade!$N:$N,$AM21),0))
-IF($M21="",0,IFERROR(SUMIFS(INDEX(rastreabilidade!$F:$H,0,MATCH(G$3,rastreabilidade!$F$1:$H$1,0)),rastreabilidade!$M:$M,$M21,rastreabilidade!$N:$N,$AM21),0))</f>
        <v>0</v>
      </c>
      <c r="H21" s="40"/>
      <c r="I21" s="155" t="str" cm="1">
        <f t="array" ref="I21">_xlfn.LET(
_xlpm.mem,H21,
_xlpm.retiradas,J21:M21,
_xlpm.adicoes,N21:Q21,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21" s="54"/>
      <c r="K21" s="54"/>
      <c r="L21" s="54"/>
      <c r="M21" s="54"/>
      <c r="N21" s="58"/>
      <c r="O21" s="58"/>
      <c r="P21" s="58"/>
      <c r="Q21" s="108"/>
      <c r="R21" s="4"/>
      <c r="S21" s="98" t="s">
        <v>52</v>
      </c>
      <c r="T21" s="11">
        <f>IFERROR(SUMIFS(INDEX(rastreabilidade!$F:$H,0,MATCH($T$2,rastreabilidade!$F$1:$H$1,0)),rastreabilidade!$K:$K,$S21,rastreabilidade!$D:$D,"Sim"),0)</f>
        <v>0</v>
      </c>
      <c r="U21" s="35"/>
      <c r="V21" s="4"/>
      <c r="W21" s="156">
        <f>IFERROR(SUMIFS(INDEX(rastreabilidade!$F:$H,0,MATCH(W$3,rastreabilidade!$F$1:$H$1,0)),rastreabilidade!$N:$N,$AN21),0)*IF($AB21="sim",-1,1)
+IF($AG21="",0,IFERROR(SUMIFS(INDEX(rastreabilidade!$F:$H,0,MATCH(W$3,rastreabilidade!$F$1:$H$1,0)),rastreabilidade!$M:$M,$AG21),0))
+IF($AH21="",0,IFERROR(SUMIFS(INDEX(rastreabilidade!$F:$H,0,MATCH(W$3,rastreabilidade!$F$1:$H$1,0)),rastreabilidade!$M:$M,$AH21),0))
+IF($AI21="",0,IFERROR(SUMIFS(INDEX(rastreabilidade!$F:$H,0,MATCH(W$3,rastreabilidade!$F$1:$H$1,0)),rastreabilidade!$M:$M,$AI21),0))
+IF($AJ21="",0,IFERROR(SUMIFS(INDEX(rastreabilidade!$F:$H,0,MATCH(W$3,rastreabilidade!$F$1:$H$1,0)),rastreabilidade!$M:$M,$AJ21),0))
-IF($AC21="",0,IFERROR(SUMIFS(INDEX(rastreabilidade!$F:$H,0,MATCH(W$3,rastreabilidade!$F$1:$H$1,0)),rastreabilidade!$M:$M,$AC21,rastreabilidade!$N:$N,$AN21),0))
-IF($AD21="",0,IFERROR(SUMIFS(INDEX(rastreabilidade!$F:$H,0,MATCH(W$3,rastreabilidade!$F$1:$H$1,0)),rastreabilidade!$M:$M,$AD21,rastreabilidade!$N:$N,$AN21),0))
-IF($AE21="",0,IFERROR(SUMIFS(INDEX(rastreabilidade!$F:$H,0,MATCH(W$3,rastreabilidade!$F$1:$H$1,0)),rastreabilidade!$M:$M,$AE21,rastreabilidade!$N:$N,$AN21),0))
-IF($AF21="",0,IFERROR(SUMIFS(INDEX(rastreabilidade!$F:$H,0,MATCH(W$3,rastreabilidade!$F$1:$H$1,0)),rastreabilidade!$M:$M,$AF21,rastreabilidade!$N:$N,$AN21),0))</f>
        <v>0</v>
      </c>
      <c r="X21" s="156">
        <f>IFERROR(SUMIFS(INDEX(rastreabilidade!$F:$H,0,MATCH(X$3,rastreabilidade!$F$1:$H$1,0)),rastreabilidade!$N:$N,$AN21),0)*IF($AB21="sim",-1,1)
+IF($AG21="",0,IFERROR(SUMIFS(INDEX(rastreabilidade!$F:$H,0,MATCH(X$3,rastreabilidade!$F$1:$H$1,0)),rastreabilidade!$M:$M,$AG21),0))
+IF($AH21="",0,IFERROR(SUMIFS(INDEX(rastreabilidade!$F:$H,0,MATCH(X$3,rastreabilidade!$F$1:$H$1,0)),rastreabilidade!$M:$M,$AH21),0))
+IF($AI21="",0,IFERROR(SUMIFS(INDEX(rastreabilidade!$F:$H,0,MATCH(X$3,rastreabilidade!$F$1:$H$1,0)),rastreabilidade!$M:$M,$AI21),0))
+IF($AJ21="",0,IFERROR(SUMIFS(INDEX(rastreabilidade!$F:$H,0,MATCH(X$3,rastreabilidade!$F$1:$H$1,0)),rastreabilidade!$M:$M,$AJ21),0))
-IF($AC21="",0,IFERROR(SUMIFS(INDEX(rastreabilidade!$F:$H,0,MATCH(X$3,rastreabilidade!$F$1:$H$1,0)),rastreabilidade!$M:$M,$AC21,rastreabilidade!$N:$N,$AN21),0))
-IF($AD21="",0,IFERROR(SUMIFS(INDEX(rastreabilidade!$F:$H,0,MATCH(X$3,rastreabilidade!$F$1:$H$1,0)),rastreabilidade!$M:$M,$AD21,rastreabilidade!$N:$N,$AN21),0))
-IF($AE21="",0,IFERROR(SUMIFS(INDEX(rastreabilidade!$F:$H,0,MATCH(X$3,rastreabilidade!$F$1:$H$1,0)),rastreabilidade!$M:$M,$AE21,rastreabilidade!$N:$N,$AN21),0))
-IF($AF21="",0,IFERROR(SUMIFS(INDEX(rastreabilidade!$F:$H,0,MATCH(X$3,rastreabilidade!$F$1:$H$1,0)),rastreabilidade!$M:$M,$AF21,rastreabilidade!$N:$N,$AN21),0))</f>
        <v>0</v>
      </c>
      <c r="Y21" s="156">
        <f>IFERROR(SUMIFS(INDEX(rastreabilidade!$F:$H,0,MATCH(Y$3,rastreabilidade!$F$1:$H$1,0)),rastreabilidade!$N:$N,$AN21),0)*IF($AB21="sim",-1,1)
+IF($AG21="",0,IFERROR(SUMIFS(INDEX(rastreabilidade!$F:$H,0,MATCH(Y$3,rastreabilidade!$F$1:$H$1,0)),rastreabilidade!$M:$M,$AG21),0))
+IF($AH21="",0,IFERROR(SUMIFS(INDEX(rastreabilidade!$F:$H,0,MATCH(Y$3,rastreabilidade!$F$1:$H$1,0)),rastreabilidade!$M:$M,$AH21),0))
+IF($AI21="",0,IFERROR(SUMIFS(INDEX(rastreabilidade!$F:$H,0,MATCH(Y$3,rastreabilidade!$F$1:$H$1,0)),rastreabilidade!$M:$M,$AI21),0))
+IF($AJ21="",0,IFERROR(SUMIFS(INDEX(rastreabilidade!$F:$H,0,MATCH(Y$3,rastreabilidade!$F$1:$H$1,0)),rastreabilidade!$M:$M,$AJ21),0))
-IF($AC21="",0,IFERROR(SUMIFS(INDEX(rastreabilidade!$F:$H,0,MATCH(Y$3,rastreabilidade!$F$1:$H$1,0)),rastreabilidade!$M:$M,$AC21,rastreabilidade!$N:$N,$AN21),0))
-IF($AD21="",0,IFERROR(SUMIFS(INDEX(rastreabilidade!$F:$H,0,MATCH(Y$3,rastreabilidade!$F$1:$H$1,0)),rastreabilidade!$M:$M,$AD21,rastreabilidade!$N:$N,$AN21),0))
-IF($AE21="",0,IFERROR(SUMIFS(INDEX(rastreabilidade!$F:$H,0,MATCH(Y$3,rastreabilidade!$F$1:$H$1,0)),rastreabilidade!$M:$M,$AE21,rastreabilidade!$N:$N,$AN21),0))
-IF($AF21="",0,IFERROR(SUMIFS(INDEX(rastreabilidade!$F:$H,0,MATCH(Y$3,rastreabilidade!$F$1:$H$1,0)),rastreabilidade!$M:$M,$AF21,rastreabilidade!$N:$N,$AN21),0))</f>
        <v>0</v>
      </c>
      <c r="Z21" s="36"/>
      <c r="AA21" s="177" t="str" cm="1">
        <f t="array" ref="AA21">_xlfn.LET(
_xlpm.mem,Z21,
_xlpm.retiradas,AC21:AF21,
_xlpm.adicoes,AG21:AJ21,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21" s="114"/>
      <c r="AC21" s="54"/>
      <c r="AD21" s="54"/>
      <c r="AE21" s="54"/>
      <c r="AF21" s="54"/>
      <c r="AG21" s="58"/>
      <c r="AH21" s="58"/>
      <c r="AI21" s="58"/>
      <c r="AJ21" s="108"/>
      <c r="AL21" s="5"/>
      <c r="AM21" s="5" t="str">
        <f t="shared" si="0"/>
        <v>Outros Não Operacionais (AC)|Ativo|Circulante</v>
      </c>
      <c r="AN21" s="5" t="str">
        <f t="shared" si="1"/>
        <v>-  Despesas Financeiras|DRE|DRE</v>
      </c>
      <c r="AO21" s="5"/>
      <c r="AP21" s="5"/>
      <c r="AQ21" s="6"/>
      <c r="AR21" s="7"/>
      <c r="AS21" s="7"/>
      <c r="AT21" s="7"/>
    </row>
    <row r="22" spans="1:46" ht="35.1" customHeight="1" x14ac:dyDescent="0.25">
      <c r="A22" s="82" t="s">
        <v>53</v>
      </c>
      <c r="B22" s="129">
        <f>SUM(B7,B11,B15,B16:B21)</f>
        <v>0</v>
      </c>
      <c r="C22" s="39"/>
      <c r="D22" s="4"/>
      <c r="E22" s="129">
        <f>SUM(E7,E11,E15,E16:E21)</f>
        <v>0</v>
      </c>
      <c r="F22" s="129">
        <f>SUM(F7,F11,F15,F16:F21)</f>
        <v>0</v>
      </c>
      <c r="G22" s="130">
        <f>SUM(G7,G11,G15,G16:G21)</f>
        <v>0</v>
      </c>
      <c r="H22" s="39"/>
      <c r="I22" s="39"/>
      <c r="J22" s="38">
        <f>SUM(J7,J11,J15,J16:J21)</f>
        <v>0</v>
      </c>
      <c r="K22" s="38"/>
      <c r="L22" s="38"/>
      <c r="M22" s="38"/>
      <c r="N22" s="38"/>
      <c r="O22" s="38"/>
      <c r="P22" s="38"/>
      <c r="Q22" s="38">
        <f>SUM(Q7,Q11,Q15,Q16:Q21)</f>
        <v>0</v>
      </c>
      <c r="R22" s="4"/>
      <c r="S22" s="83" t="s">
        <v>54</v>
      </c>
      <c r="T22" s="17">
        <f>IFERROR(SUMIFS(INDEX(rastreabilidade!$F:$H,0,MATCH($T$2,rastreabilidade!$F$1:$H$1,0)),rastreabilidade!$K:$K,$S22,rastreabilidade!$D:$D,"Sim"),0)</f>
        <v>0</v>
      </c>
      <c r="U22" s="35"/>
      <c r="V22" s="4"/>
      <c r="W22" s="162">
        <f>IFERROR(SUMIFS(INDEX(rastreabilidade!$F:$H,0,MATCH(W$3,rastreabilidade!$F$1:$H$1,0)),rastreabilidade!$N:$N,$AN22),0)*IF($AB22="sim",-1,1)
+IF($AG22="",0,IFERROR(SUMIFS(INDEX(rastreabilidade!$F:$H,0,MATCH(W$3,rastreabilidade!$F$1:$H$1,0)),rastreabilidade!$M:$M,$AG22),0))
+IF($AH22="",0,IFERROR(SUMIFS(INDEX(rastreabilidade!$F:$H,0,MATCH(W$3,rastreabilidade!$F$1:$H$1,0)),rastreabilidade!$M:$M,$AH22),0))
+IF($AI22="",0,IFERROR(SUMIFS(INDEX(rastreabilidade!$F:$H,0,MATCH(W$3,rastreabilidade!$F$1:$H$1,0)),rastreabilidade!$M:$M,$AI22),0))
+IF($AJ22="",0,IFERROR(SUMIFS(INDEX(rastreabilidade!$F:$H,0,MATCH(W$3,rastreabilidade!$F$1:$H$1,0)),rastreabilidade!$M:$M,$AJ22),0))
-IF($AC22="",0,IFERROR(SUMIFS(INDEX(rastreabilidade!$F:$H,0,MATCH(W$3,rastreabilidade!$F$1:$H$1,0)),rastreabilidade!$M:$M,$AC22,rastreabilidade!$N:$N,$AN22),0))
-IF($AD22="",0,IFERROR(SUMIFS(INDEX(rastreabilidade!$F:$H,0,MATCH(W$3,rastreabilidade!$F$1:$H$1,0)),rastreabilidade!$M:$M,$AD22,rastreabilidade!$N:$N,$AN22),0))
-IF($AE22="",0,IFERROR(SUMIFS(INDEX(rastreabilidade!$F:$H,0,MATCH(W$3,rastreabilidade!$F$1:$H$1,0)),rastreabilidade!$M:$M,$AE22,rastreabilidade!$N:$N,$AN22),0))
-IF($AF22="",0,IFERROR(SUMIFS(INDEX(rastreabilidade!$F:$H,0,MATCH(W$3,rastreabilidade!$F$1:$H$1,0)),rastreabilidade!$M:$M,$AF22,rastreabilidade!$N:$N,$AN22),0))</f>
        <v>0</v>
      </c>
      <c r="X22" s="162">
        <f>IFERROR(SUMIFS(INDEX(rastreabilidade!$F:$H,0,MATCH(X$3,rastreabilidade!$F$1:$H$1,0)),rastreabilidade!$N:$N,$AN22),0)*IF($AB22="sim",-1,1)
+IF($AG22="",0,IFERROR(SUMIFS(INDEX(rastreabilidade!$F:$H,0,MATCH(X$3,rastreabilidade!$F$1:$H$1,0)),rastreabilidade!$M:$M,$AG22),0))
+IF($AH22="",0,IFERROR(SUMIFS(INDEX(rastreabilidade!$F:$H,0,MATCH(X$3,rastreabilidade!$F$1:$H$1,0)),rastreabilidade!$M:$M,$AH22),0))
+IF($AI22="",0,IFERROR(SUMIFS(INDEX(rastreabilidade!$F:$H,0,MATCH(X$3,rastreabilidade!$F$1:$H$1,0)),rastreabilidade!$M:$M,$AI22),0))
+IF($AJ22="",0,IFERROR(SUMIFS(INDEX(rastreabilidade!$F:$H,0,MATCH(X$3,rastreabilidade!$F$1:$H$1,0)),rastreabilidade!$M:$M,$AJ22),0))
-IF($AC22="",0,IFERROR(SUMIFS(INDEX(rastreabilidade!$F:$H,0,MATCH(X$3,rastreabilidade!$F$1:$H$1,0)),rastreabilidade!$M:$M,$AC22,rastreabilidade!$N:$N,$AN22),0))
-IF($AD22="",0,IFERROR(SUMIFS(INDEX(rastreabilidade!$F:$H,0,MATCH(X$3,rastreabilidade!$F$1:$H$1,0)),rastreabilidade!$M:$M,$AD22,rastreabilidade!$N:$N,$AN22),0))
-IF($AE22="",0,IFERROR(SUMIFS(INDEX(rastreabilidade!$F:$H,0,MATCH(X$3,rastreabilidade!$F$1:$H$1,0)),rastreabilidade!$M:$M,$AE22,rastreabilidade!$N:$N,$AN22),0))
-IF($AF22="",0,IFERROR(SUMIFS(INDEX(rastreabilidade!$F:$H,0,MATCH(X$3,rastreabilidade!$F$1:$H$1,0)),rastreabilidade!$M:$M,$AF22,rastreabilidade!$N:$N,$AN22),0))</f>
        <v>0</v>
      </c>
      <c r="Y22" s="162">
        <f>IFERROR(SUMIFS(INDEX(rastreabilidade!$F:$H,0,MATCH(Y$3,rastreabilidade!$F$1:$H$1,0)),rastreabilidade!$N:$N,$AN22),0)*IF($AB22="sim",-1,1)
+IF($AG22="",0,IFERROR(SUMIFS(INDEX(rastreabilidade!$F:$H,0,MATCH(Y$3,rastreabilidade!$F$1:$H$1,0)),rastreabilidade!$M:$M,$AG22),0))
+IF($AH22="",0,IFERROR(SUMIFS(INDEX(rastreabilidade!$F:$H,0,MATCH(Y$3,rastreabilidade!$F$1:$H$1,0)),rastreabilidade!$M:$M,$AH22),0))
+IF($AI22="",0,IFERROR(SUMIFS(INDEX(rastreabilidade!$F:$H,0,MATCH(Y$3,rastreabilidade!$F$1:$H$1,0)),rastreabilidade!$M:$M,$AI22),0))
+IF($AJ22="",0,IFERROR(SUMIFS(INDEX(rastreabilidade!$F:$H,0,MATCH(Y$3,rastreabilidade!$F$1:$H$1,0)),rastreabilidade!$M:$M,$AJ22),0))
-IF($AC22="",0,IFERROR(SUMIFS(INDEX(rastreabilidade!$F:$H,0,MATCH(Y$3,rastreabilidade!$F$1:$H$1,0)),rastreabilidade!$M:$M,$AC22,rastreabilidade!$N:$N,$AN22),0))
-IF($AD22="",0,IFERROR(SUMIFS(INDEX(rastreabilidade!$F:$H,0,MATCH(Y$3,rastreabilidade!$F$1:$H$1,0)),rastreabilidade!$M:$M,$AD22,rastreabilidade!$N:$N,$AN22),0))
-IF($AE22="",0,IFERROR(SUMIFS(INDEX(rastreabilidade!$F:$H,0,MATCH(Y$3,rastreabilidade!$F$1:$H$1,0)),rastreabilidade!$M:$M,$AE22,rastreabilidade!$N:$N,$AN22),0))
-IF($AF22="",0,IFERROR(SUMIFS(INDEX(rastreabilidade!$F:$H,0,MATCH(Y$3,rastreabilidade!$F$1:$H$1,0)),rastreabilidade!$M:$M,$AF22,rastreabilidade!$N:$N,$AN22),0))</f>
        <v>0</v>
      </c>
      <c r="Z22" s="36"/>
      <c r="AA22" s="177" t="str" cm="1">
        <f t="array" ref="AA22">_xlfn.LET(
_xlpm.mem,Z22,
_xlpm.retiradas,AC22:AF22,
_xlpm.adicoes,AG22:AJ22,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22" s="114"/>
      <c r="AC22" s="54"/>
      <c r="AD22" s="54"/>
      <c r="AE22" s="54"/>
      <c r="AF22" s="54"/>
      <c r="AG22" s="58"/>
      <c r="AH22" s="58"/>
      <c r="AI22" s="58"/>
      <c r="AJ22" s="108"/>
      <c r="AL22" s="5"/>
      <c r="AM22" s="5" t="str">
        <f t="shared" si="0"/>
        <v>TOTAL ATIVO CIRCULANTE|Ativo|Circulante</v>
      </c>
      <c r="AN22" s="5" t="str">
        <f t="shared" si="1"/>
        <v>+ Receitas Financeiras|DRE|DRE</v>
      </c>
      <c r="AO22" s="5"/>
      <c r="AP22" s="5"/>
      <c r="AQ22" s="6"/>
      <c r="AR22" s="7"/>
      <c r="AS22" s="7"/>
      <c r="AT22" s="7"/>
    </row>
    <row r="23" spans="1:46" ht="35.1" customHeight="1" x14ac:dyDescent="0.25">
      <c r="A23" s="118" t="s">
        <v>55</v>
      </c>
      <c r="B23" s="125">
        <f>IFERROR(SUMIFS(INDEX(rastreabilidade!$F:$H,0,MATCH($B$2,rastreabilidade!$F$1:$H$1,0)),rastreabilidade!$K:$K,$A23,rastreabilidade!$D:$D,"Sim"),0)</f>
        <v>0</v>
      </c>
      <c r="C23" s="35"/>
      <c r="D23" s="4"/>
      <c r="E23" s="125">
        <f>IFERROR(SUMIFS(INDEX(rastreabilidade!$F:$H,0,MATCH(E$3,rastreabilidade!$F$1:$H$1,0)),rastreabilidade!$N:$N,$AM23),0)
+IF($N23="",0,IFERROR(SUMIFS(INDEX(rastreabilidade!$F:$H,0,MATCH(E$3,rastreabilidade!$F$1:$H$1,0)),rastreabilidade!$M:$M,$N23),0))
+IF($O23="",0,IFERROR(SUMIFS(INDEX(rastreabilidade!$F:$H,0,MATCH(E$3,rastreabilidade!$F$1:$H$1,0)),rastreabilidade!$M:$M,$O23),0))
+IF($P23="",0,IFERROR(SUMIFS(INDEX(rastreabilidade!$F:$H,0,MATCH(E$3,rastreabilidade!$F$1:$H$1,0)),rastreabilidade!$M:$M,$P23),0))
+IF($Q23="",0,IFERROR(SUMIFS(INDEX(rastreabilidade!$F:$H,0,MATCH(E$3,rastreabilidade!$F$1:$H$1,0)),rastreabilidade!$M:$M,$Q23),0))
-IF($J23="",0,IFERROR(SUMIFS(INDEX(rastreabilidade!$F:$H,0,MATCH(E$3,rastreabilidade!$F$1:$H$1,0)),rastreabilidade!$M:$M,$J23,rastreabilidade!$N:$N,$AM23),0))
-IF($K23="",0,IFERROR(SUMIFS(INDEX(rastreabilidade!$F:$H,0,MATCH(E$3,rastreabilidade!$F$1:$H$1,0)),rastreabilidade!$M:$M,$K23,rastreabilidade!$N:$N,$AM23),0))
-IF($L23="",0,IFERROR(SUMIFS(INDEX(rastreabilidade!$F:$H,0,MATCH(E$3,rastreabilidade!$F$1:$H$1,0)),rastreabilidade!$M:$M,$L23,rastreabilidade!$N:$N,$AM23),0))
-IF($M23="",0,IFERROR(SUMIFS(INDEX(rastreabilidade!$F:$H,0,MATCH(E$3,rastreabilidade!$F$1:$H$1,0)),rastreabilidade!$M:$M,$M23,rastreabilidade!$N:$N,$AM23),0))</f>
        <v>0</v>
      </c>
      <c r="F23" s="125">
        <f>IFERROR(SUMIFS(INDEX(rastreabilidade!$F:$H,0,MATCH(F$3,rastreabilidade!$F$1:$H$1,0)),rastreabilidade!$N:$N,$AM23),0)
+IF($N23="",0,IFERROR(SUMIFS(INDEX(rastreabilidade!$F:$H,0,MATCH(F$3,rastreabilidade!$F$1:$H$1,0)),rastreabilidade!$M:$M,$N23),0))
+IF($O23="",0,IFERROR(SUMIFS(INDEX(rastreabilidade!$F:$H,0,MATCH(F$3,rastreabilidade!$F$1:$H$1,0)),rastreabilidade!$M:$M,$O23),0))
+IF($P23="",0,IFERROR(SUMIFS(INDEX(rastreabilidade!$F:$H,0,MATCH(F$3,rastreabilidade!$F$1:$H$1,0)),rastreabilidade!$M:$M,$P23),0))
+IF($Q23="",0,IFERROR(SUMIFS(INDEX(rastreabilidade!$F:$H,0,MATCH(F$3,rastreabilidade!$F$1:$H$1,0)),rastreabilidade!$M:$M,$Q23),0))
-IF($J23="",0,IFERROR(SUMIFS(INDEX(rastreabilidade!$F:$H,0,MATCH(F$3,rastreabilidade!$F$1:$H$1,0)),rastreabilidade!$M:$M,$J23,rastreabilidade!$N:$N,$AM23),0))
-IF($K23="",0,IFERROR(SUMIFS(INDEX(rastreabilidade!$F:$H,0,MATCH(F$3,rastreabilidade!$F$1:$H$1,0)),rastreabilidade!$M:$M,$K23,rastreabilidade!$N:$N,$AM23),0))
-IF($L23="",0,IFERROR(SUMIFS(INDEX(rastreabilidade!$F:$H,0,MATCH(F$3,rastreabilidade!$F$1:$H$1,0)),rastreabilidade!$M:$M,$L23,rastreabilidade!$N:$N,$AM23),0))
-IF($M23="",0,IFERROR(SUMIFS(INDEX(rastreabilidade!$F:$H,0,MATCH(F$3,rastreabilidade!$F$1:$H$1,0)),rastreabilidade!$M:$M,$M23,rastreabilidade!$N:$N,$AM23),0))</f>
        <v>0</v>
      </c>
      <c r="G23" s="126">
        <f>IFERROR(SUMIFS(INDEX(rastreabilidade!$F:$H,0,MATCH(G$3,rastreabilidade!$F$1:$H$1,0)),rastreabilidade!$N:$N,$AM23),0)
+IF($N23="",0,IFERROR(SUMIFS(INDEX(rastreabilidade!$F:$H,0,MATCH(G$3,rastreabilidade!$F$1:$H$1,0)),rastreabilidade!$M:$M,$N23),0))
+IF($O23="",0,IFERROR(SUMIFS(INDEX(rastreabilidade!$F:$H,0,MATCH(G$3,rastreabilidade!$F$1:$H$1,0)),rastreabilidade!$M:$M,$O23),0))
+IF($P23="",0,IFERROR(SUMIFS(INDEX(rastreabilidade!$F:$H,0,MATCH(G$3,rastreabilidade!$F$1:$H$1,0)),rastreabilidade!$M:$M,$P23),0))
+IF($Q23="",0,IFERROR(SUMIFS(INDEX(rastreabilidade!$F:$H,0,MATCH(G$3,rastreabilidade!$F$1:$H$1,0)),rastreabilidade!$M:$M,$Q23),0))
-IF($J23="",0,IFERROR(SUMIFS(INDEX(rastreabilidade!$F:$H,0,MATCH(G$3,rastreabilidade!$F$1:$H$1,0)),rastreabilidade!$M:$M,$J23,rastreabilidade!$N:$N,$AM23),0))
-IF($K23="",0,IFERROR(SUMIFS(INDEX(rastreabilidade!$F:$H,0,MATCH(G$3,rastreabilidade!$F$1:$H$1,0)),rastreabilidade!$M:$M,$K23,rastreabilidade!$N:$N,$AM23),0))
-IF($L23="",0,IFERROR(SUMIFS(INDEX(rastreabilidade!$F:$H,0,MATCH(G$3,rastreabilidade!$F$1:$H$1,0)),rastreabilidade!$M:$M,$L23,rastreabilidade!$N:$N,$AM23),0))
-IF($M23="",0,IFERROR(SUMIFS(INDEX(rastreabilidade!$F:$H,0,MATCH(G$3,rastreabilidade!$F$1:$H$1,0)),rastreabilidade!$M:$M,$M23,rastreabilidade!$N:$N,$AM23),0))</f>
        <v>0</v>
      </c>
      <c r="H23" s="40"/>
      <c r="I23" s="155" t="str" cm="1">
        <f t="array" ref="I23">_xlfn.LET(
_xlpm.mem,H23,
_xlpm.retiradas,J23:M23,
_xlpm.adicoes,N23:Q23,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23" s="54"/>
      <c r="K23" s="54"/>
      <c r="L23" s="54"/>
      <c r="M23" s="54"/>
      <c r="N23" s="58"/>
      <c r="O23" s="58"/>
      <c r="P23" s="58"/>
      <c r="Q23" s="108"/>
      <c r="R23" s="4"/>
      <c r="S23" s="79" t="s">
        <v>56</v>
      </c>
      <c r="T23" s="13">
        <f>-T21+T22</f>
        <v>0</v>
      </c>
      <c r="U23" s="51"/>
      <c r="V23" s="4"/>
      <c r="W23" s="123">
        <f>-W21+W22</f>
        <v>0</v>
      </c>
      <c r="X23" s="123">
        <f>-X21+X22</f>
        <v>0</v>
      </c>
      <c r="Y23" s="123">
        <f>-Y21+Y22</f>
        <v>0</v>
      </c>
      <c r="Z23" s="36"/>
      <c r="AA23" s="51"/>
      <c r="AB23" s="115"/>
      <c r="AC23" s="51"/>
      <c r="AD23" s="51"/>
      <c r="AE23" s="51"/>
      <c r="AF23" s="51"/>
      <c r="AG23" s="51"/>
      <c r="AH23" s="51"/>
      <c r="AI23" s="51"/>
      <c r="AJ23" s="105"/>
      <c r="AL23" s="5"/>
      <c r="AM23" s="5" t="str">
        <f t="shared" ref="AM23:AM41" si="2">_xlfn.TEXTJOIN("|",TRUE,A23,"Ativo","Não Circulante")</f>
        <v>Ajustes derivativos / cambio (ANC)|Ativo|Não Circulante</v>
      </c>
      <c r="AN23" s="5" t="str">
        <f t="shared" si="1"/>
        <v>+/- Resultado Financeiro|DRE|DRE</v>
      </c>
      <c r="AO23" s="5"/>
      <c r="AP23" s="5"/>
      <c r="AQ23" s="6"/>
      <c r="AR23" s="7"/>
      <c r="AS23" s="7"/>
      <c r="AT23" s="7"/>
    </row>
    <row r="24" spans="1:46" ht="35.1" customHeight="1" x14ac:dyDescent="0.25">
      <c r="A24" s="78" t="s">
        <v>57</v>
      </c>
      <c r="B24" s="121">
        <f>IFERROR(SUMIFS(INDEX(rastreabilidade!$F:$H,0,MATCH($B$2,rastreabilidade!$F$1:$H$1,0)),rastreabilidade!$K:$K,$A24,rastreabilidade!$D:$D,"Sim"),0)</f>
        <v>0</v>
      </c>
      <c r="C24" s="35"/>
      <c r="D24" s="4"/>
      <c r="E24" s="121">
        <f>IFERROR(SUMIFS(INDEX(rastreabilidade!$F:$H,0,MATCH(E$3,rastreabilidade!$F$1:$H$1,0)),rastreabilidade!$N:$N,$AM24),0)
+IF($N24="",0,IFERROR(SUMIFS(INDEX(rastreabilidade!$F:$H,0,MATCH(E$3,rastreabilidade!$F$1:$H$1,0)),rastreabilidade!$M:$M,$N24),0))
+IF($O24="",0,IFERROR(SUMIFS(INDEX(rastreabilidade!$F:$H,0,MATCH(E$3,rastreabilidade!$F$1:$H$1,0)),rastreabilidade!$M:$M,$O24),0))
+IF($P24="",0,IFERROR(SUMIFS(INDEX(rastreabilidade!$F:$H,0,MATCH(E$3,rastreabilidade!$F$1:$H$1,0)),rastreabilidade!$M:$M,$P24),0))
+IF($Q24="",0,IFERROR(SUMIFS(INDEX(rastreabilidade!$F:$H,0,MATCH(E$3,rastreabilidade!$F$1:$H$1,0)),rastreabilidade!$M:$M,$Q24),0))
-IF($J24="",0,IFERROR(SUMIFS(INDEX(rastreabilidade!$F:$H,0,MATCH(E$3,rastreabilidade!$F$1:$H$1,0)),rastreabilidade!$M:$M,$J24,rastreabilidade!$N:$N,$AM24),0))
-IF($K24="",0,IFERROR(SUMIFS(INDEX(rastreabilidade!$F:$H,0,MATCH(E$3,rastreabilidade!$F$1:$H$1,0)),rastreabilidade!$M:$M,$K24,rastreabilidade!$N:$N,$AM24),0))
-IF($L24="",0,IFERROR(SUMIFS(INDEX(rastreabilidade!$F:$H,0,MATCH(E$3,rastreabilidade!$F$1:$H$1,0)),rastreabilidade!$M:$M,$L24,rastreabilidade!$N:$N,$AM24),0))
-IF($M24="",0,IFERROR(SUMIFS(INDEX(rastreabilidade!$F:$H,0,MATCH(E$3,rastreabilidade!$F$1:$H$1,0)),rastreabilidade!$M:$M,$M24,rastreabilidade!$N:$N,$AM24),0))</f>
        <v>0</v>
      </c>
      <c r="F24" s="121">
        <f>IFERROR(SUMIFS(INDEX(rastreabilidade!$F:$H,0,MATCH(F$3,rastreabilidade!$F$1:$H$1,0)),rastreabilidade!$N:$N,$AM24),0)
+IF($N24="",0,IFERROR(SUMIFS(INDEX(rastreabilidade!$F:$H,0,MATCH(F$3,rastreabilidade!$F$1:$H$1,0)),rastreabilidade!$M:$M,$N24),0))
+IF($O24="",0,IFERROR(SUMIFS(INDEX(rastreabilidade!$F:$H,0,MATCH(F$3,rastreabilidade!$F$1:$H$1,0)),rastreabilidade!$M:$M,$O24),0))
+IF($P24="",0,IFERROR(SUMIFS(INDEX(rastreabilidade!$F:$H,0,MATCH(F$3,rastreabilidade!$F$1:$H$1,0)),rastreabilidade!$M:$M,$P24),0))
+IF($Q24="",0,IFERROR(SUMIFS(INDEX(rastreabilidade!$F:$H,0,MATCH(F$3,rastreabilidade!$F$1:$H$1,0)),rastreabilidade!$M:$M,$Q24),0))
-IF($J24="",0,IFERROR(SUMIFS(INDEX(rastreabilidade!$F:$H,0,MATCH(F$3,rastreabilidade!$F$1:$H$1,0)),rastreabilidade!$M:$M,$J24,rastreabilidade!$N:$N,$AM24),0))
-IF($K24="",0,IFERROR(SUMIFS(INDEX(rastreabilidade!$F:$H,0,MATCH(F$3,rastreabilidade!$F$1:$H$1,0)),rastreabilidade!$M:$M,$K24,rastreabilidade!$N:$N,$AM24),0))
-IF($L24="",0,IFERROR(SUMIFS(INDEX(rastreabilidade!$F:$H,0,MATCH(F$3,rastreabilidade!$F$1:$H$1,0)),rastreabilidade!$M:$M,$L24,rastreabilidade!$N:$N,$AM24),0))
-IF($M24="",0,IFERROR(SUMIFS(INDEX(rastreabilidade!$F:$H,0,MATCH(F$3,rastreabilidade!$F$1:$H$1,0)),rastreabilidade!$M:$M,$M24,rastreabilidade!$N:$N,$AM24),0))</f>
        <v>0</v>
      </c>
      <c r="G24" s="122">
        <f>IFERROR(SUMIFS(INDEX(rastreabilidade!$F:$H,0,MATCH(G$3,rastreabilidade!$F$1:$H$1,0)),rastreabilidade!$N:$N,$AM24),0)
+IF($N24="",0,IFERROR(SUMIFS(INDEX(rastreabilidade!$F:$H,0,MATCH(G$3,rastreabilidade!$F$1:$H$1,0)),rastreabilidade!$M:$M,$N24),0))
+IF($O24="",0,IFERROR(SUMIFS(INDEX(rastreabilidade!$F:$H,0,MATCH(G$3,rastreabilidade!$F$1:$H$1,0)),rastreabilidade!$M:$M,$O24),0))
+IF($P24="",0,IFERROR(SUMIFS(INDEX(rastreabilidade!$F:$H,0,MATCH(G$3,rastreabilidade!$F$1:$H$1,0)),rastreabilidade!$M:$M,$P24),0))
+IF($Q24="",0,IFERROR(SUMIFS(INDEX(rastreabilidade!$F:$H,0,MATCH(G$3,rastreabilidade!$F$1:$H$1,0)),rastreabilidade!$M:$M,$Q24),0))
-IF($J24="",0,IFERROR(SUMIFS(INDEX(rastreabilidade!$F:$H,0,MATCH(G$3,rastreabilidade!$F$1:$H$1,0)),rastreabilidade!$M:$M,$J24,rastreabilidade!$N:$N,$AM24),0))
-IF($K24="",0,IFERROR(SUMIFS(INDEX(rastreabilidade!$F:$H,0,MATCH(G$3,rastreabilidade!$F$1:$H$1,0)),rastreabilidade!$M:$M,$K24,rastreabilidade!$N:$N,$AM24),0))
-IF($L24="",0,IFERROR(SUMIFS(INDEX(rastreabilidade!$F:$H,0,MATCH(G$3,rastreabilidade!$F$1:$H$1,0)),rastreabilidade!$M:$M,$L24,rastreabilidade!$N:$N,$AM24),0))
-IF($M24="",0,IFERROR(SUMIFS(INDEX(rastreabilidade!$F:$H,0,MATCH(G$3,rastreabilidade!$F$1:$H$1,0)),rastreabilidade!$M:$M,$M24,rastreabilidade!$N:$N,$AM24),0))</f>
        <v>0</v>
      </c>
      <c r="H24" s="40"/>
      <c r="I24" s="155" t="str" cm="1">
        <f t="array" ref="I24">_xlfn.LET(
_xlpm.mem,H24,
_xlpm.retiradas,J24:M24,
_xlpm.adicoes,N24:Q24,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24" s="54"/>
      <c r="K24" s="54"/>
      <c r="L24" s="54"/>
      <c r="M24" s="54"/>
      <c r="N24" s="58"/>
      <c r="O24" s="58"/>
      <c r="P24" s="58"/>
      <c r="Q24" s="108"/>
      <c r="R24" s="4"/>
      <c r="S24" s="83" t="s">
        <v>58</v>
      </c>
      <c r="T24" s="17">
        <f>IFERROR(SUMIFS(INDEX(rastreabilidade!$F:$H,0,MATCH($T$2,rastreabilidade!$F$1:$H$1,0)),rastreabilidade!$K:$K,$S24,rastreabilidade!$D:$D,"Sim"),0)</f>
        <v>0</v>
      </c>
      <c r="U24" s="35"/>
      <c r="V24" s="4"/>
      <c r="W24" s="162">
        <f>IFERROR(SUMIFS(INDEX(rastreabilidade!$F:$H,0,MATCH(W$3,rastreabilidade!$F$1:$H$1,0)),rastreabilidade!$N:$N,$AN24),0)*IF($AB24="sim",-1,1)
+IF($AG24="",0,IFERROR(SUMIFS(INDEX(rastreabilidade!$F:$H,0,MATCH(W$3,rastreabilidade!$F$1:$H$1,0)),rastreabilidade!$M:$M,$AG24),0))
+IF($AH24="",0,IFERROR(SUMIFS(INDEX(rastreabilidade!$F:$H,0,MATCH(W$3,rastreabilidade!$F$1:$H$1,0)),rastreabilidade!$M:$M,$AH24),0))
+IF($AI24="",0,IFERROR(SUMIFS(INDEX(rastreabilidade!$F:$H,0,MATCH(W$3,rastreabilidade!$F$1:$H$1,0)),rastreabilidade!$M:$M,$AI24),0))
+IF($AJ24="",0,IFERROR(SUMIFS(INDEX(rastreabilidade!$F:$H,0,MATCH(W$3,rastreabilidade!$F$1:$H$1,0)),rastreabilidade!$M:$M,$AJ24),0))
-IF($AC24="",0,IFERROR(SUMIFS(INDEX(rastreabilidade!$F:$H,0,MATCH(W$3,rastreabilidade!$F$1:$H$1,0)),rastreabilidade!$M:$M,$AC24,rastreabilidade!$N:$N,$AN24),0))
-IF($AD24="",0,IFERROR(SUMIFS(INDEX(rastreabilidade!$F:$H,0,MATCH(W$3,rastreabilidade!$F$1:$H$1,0)),rastreabilidade!$M:$M,$AD24,rastreabilidade!$N:$N,$AN24),0))
-IF($AE24="",0,IFERROR(SUMIFS(INDEX(rastreabilidade!$F:$H,0,MATCH(W$3,rastreabilidade!$F$1:$H$1,0)),rastreabilidade!$M:$M,$AE24,rastreabilidade!$N:$N,$AN24),0))
-IF($AF24="",0,IFERROR(SUMIFS(INDEX(rastreabilidade!$F:$H,0,MATCH(W$3,rastreabilidade!$F$1:$H$1,0)),rastreabilidade!$M:$M,$AF24,rastreabilidade!$N:$N,$AN24),0))</f>
        <v>0</v>
      </c>
      <c r="X24" s="162">
        <f>IFERROR(SUMIFS(INDEX(rastreabilidade!$F:$H,0,MATCH(X$3,rastreabilidade!$F$1:$H$1,0)),rastreabilidade!$N:$N,$AN24),0)*IF($AB24="sim",-1,1)
+IF($AG24="",0,IFERROR(SUMIFS(INDEX(rastreabilidade!$F:$H,0,MATCH(X$3,rastreabilidade!$F$1:$H$1,0)),rastreabilidade!$M:$M,$AG24),0))
+IF($AH24="",0,IFERROR(SUMIFS(INDEX(rastreabilidade!$F:$H,0,MATCH(X$3,rastreabilidade!$F$1:$H$1,0)),rastreabilidade!$M:$M,$AH24),0))
+IF($AI24="",0,IFERROR(SUMIFS(INDEX(rastreabilidade!$F:$H,0,MATCH(X$3,rastreabilidade!$F$1:$H$1,0)),rastreabilidade!$M:$M,$AI24),0))
+IF($AJ24="",0,IFERROR(SUMIFS(INDEX(rastreabilidade!$F:$H,0,MATCH(X$3,rastreabilidade!$F$1:$H$1,0)),rastreabilidade!$M:$M,$AJ24),0))
-IF($AC24="",0,IFERROR(SUMIFS(INDEX(rastreabilidade!$F:$H,0,MATCH(X$3,rastreabilidade!$F$1:$H$1,0)),rastreabilidade!$M:$M,$AC24,rastreabilidade!$N:$N,$AN24),0))
-IF($AD24="",0,IFERROR(SUMIFS(INDEX(rastreabilidade!$F:$H,0,MATCH(X$3,rastreabilidade!$F$1:$H$1,0)),rastreabilidade!$M:$M,$AD24,rastreabilidade!$N:$N,$AN24),0))
-IF($AE24="",0,IFERROR(SUMIFS(INDEX(rastreabilidade!$F:$H,0,MATCH(X$3,rastreabilidade!$F$1:$H$1,0)),rastreabilidade!$M:$M,$AE24,rastreabilidade!$N:$N,$AN24),0))
-IF($AF24="",0,IFERROR(SUMIFS(INDEX(rastreabilidade!$F:$H,0,MATCH(X$3,rastreabilidade!$F$1:$H$1,0)),rastreabilidade!$M:$M,$AF24,rastreabilidade!$N:$N,$AN24),0))</f>
        <v>0</v>
      </c>
      <c r="Y24" s="162">
        <f>IFERROR(SUMIFS(INDEX(rastreabilidade!$F:$H,0,MATCH(Y$3,rastreabilidade!$F$1:$H$1,0)),rastreabilidade!$N:$N,$AN24),0)*IF($AB24="sim",-1,1)
+IF($AG24="",0,IFERROR(SUMIFS(INDEX(rastreabilidade!$F:$H,0,MATCH(Y$3,rastreabilidade!$F$1:$H$1,0)),rastreabilidade!$M:$M,$AG24),0))
+IF($AH24="",0,IFERROR(SUMIFS(INDEX(rastreabilidade!$F:$H,0,MATCH(Y$3,rastreabilidade!$F$1:$H$1,0)),rastreabilidade!$M:$M,$AH24),0))
+IF($AI24="",0,IFERROR(SUMIFS(INDEX(rastreabilidade!$F:$H,0,MATCH(Y$3,rastreabilidade!$F$1:$H$1,0)),rastreabilidade!$M:$M,$AI24),0))
+IF($AJ24="",0,IFERROR(SUMIFS(INDEX(rastreabilidade!$F:$H,0,MATCH(Y$3,rastreabilidade!$F$1:$H$1,0)),rastreabilidade!$M:$M,$AJ24),0))
-IF($AC24="",0,IFERROR(SUMIFS(INDEX(rastreabilidade!$F:$H,0,MATCH(Y$3,rastreabilidade!$F$1:$H$1,0)),rastreabilidade!$M:$M,$AC24,rastreabilidade!$N:$N,$AN24),0))
-IF($AD24="",0,IFERROR(SUMIFS(INDEX(rastreabilidade!$F:$H,0,MATCH(Y$3,rastreabilidade!$F$1:$H$1,0)),rastreabilidade!$M:$M,$AD24,rastreabilidade!$N:$N,$AN24),0))
-IF($AE24="",0,IFERROR(SUMIFS(INDEX(rastreabilidade!$F:$H,0,MATCH(Y$3,rastreabilidade!$F$1:$H$1,0)),rastreabilidade!$M:$M,$AE24,rastreabilidade!$N:$N,$AN24),0))
-IF($AF24="",0,IFERROR(SUMIFS(INDEX(rastreabilidade!$F:$H,0,MATCH(Y$3,rastreabilidade!$F$1:$H$1,0)),rastreabilidade!$M:$M,$AF24,rastreabilidade!$N:$N,$AN24),0))</f>
        <v>0</v>
      </c>
      <c r="Z24" s="36"/>
      <c r="AA24" s="177" t="str" cm="1">
        <f t="array" ref="AA24">_xlfn.LET(
_xlpm.mem,Z24,
_xlpm.retiradas,AC24:AF24,
_xlpm.adicoes,AG24:AJ24,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24" s="114"/>
      <c r="AC24" s="54"/>
      <c r="AD24" s="54"/>
      <c r="AE24" s="54"/>
      <c r="AF24" s="54"/>
      <c r="AG24" s="58"/>
      <c r="AH24" s="58"/>
      <c r="AI24" s="58"/>
      <c r="AJ24" s="108"/>
      <c r="AL24" s="5"/>
      <c r="AM24" s="5" t="str">
        <f t="shared" si="2"/>
        <v>Impostos Diferidos|Ativo|Não Circulante</v>
      </c>
      <c r="AN24" s="5" t="str">
        <f t="shared" si="1"/>
        <v>+/- Variações Cambiais|DRE|DRE</v>
      </c>
      <c r="AO24" s="5"/>
      <c r="AP24" s="5"/>
      <c r="AQ24" s="6"/>
      <c r="AR24" s="7"/>
      <c r="AS24" s="7"/>
      <c r="AT24" s="7"/>
    </row>
    <row r="25" spans="1:46" ht="35.1" customHeight="1" x14ac:dyDescent="0.25">
      <c r="A25" s="83" t="s">
        <v>59</v>
      </c>
      <c r="B25" s="131">
        <f>IFERROR(SUMIFS(INDEX(rastreabilidade!$F:$H,0,MATCH($B$2,rastreabilidade!$F$1:$H$1,0)),rastreabilidade!$K:$K,$A25,rastreabilidade!$D:$D,"Sim"),0)</f>
        <v>0</v>
      </c>
      <c r="C25" s="35"/>
      <c r="D25" s="4"/>
      <c r="E25" s="131">
        <f>IFERROR(SUMIFS(INDEX(rastreabilidade!$F:$H,0,MATCH(E$3,rastreabilidade!$F$1:$H$1,0)),rastreabilidade!$N:$N,$AM25),0)
+IF($N25="",0,IFERROR(SUMIFS(INDEX(rastreabilidade!$F:$H,0,MATCH(E$3,rastreabilidade!$F$1:$H$1,0)),rastreabilidade!$M:$M,$N25),0))
+IF($O25="",0,IFERROR(SUMIFS(INDEX(rastreabilidade!$F:$H,0,MATCH(E$3,rastreabilidade!$F$1:$H$1,0)),rastreabilidade!$M:$M,$O25),0))
+IF($P25="",0,IFERROR(SUMIFS(INDEX(rastreabilidade!$F:$H,0,MATCH(E$3,rastreabilidade!$F$1:$H$1,0)),rastreabilidade!$M:$M,$P25),0))
+IF($Q25="",0,IFERROR(SUMIFS(INDEX(rastreabilidade!$F:$H,0,MATCH(E$3,rastreabilidade!$F$1:$H$1,0)),rastreabilidade!$M:$M,$Q25),0))
-IF($J25="",0,IFERROR(SUMIFS(INDEX(rastreabilidade!$F:$H,0,MATCH(E$3,rastreabilidade!$F$1:$H$1,0)),rastreabilidade!$M:$M,$J25,rastreabilidade!$N:$N,$AM25),0))
-IF($K25="",0,IFERROR(SUMIFS(INDEX(rastreabilidade!$F:$H,0,MATCH(E$3,rastreabilidade!$F$1:$H$1,0)),rastreabilidade!$M:$M,$K25,rastreabilidade!$N:$N,$AM25),0))
-IF($L25="",0,IFERROR(SUMIFS(INDEX(rastreabilidade!$F:$H,0,MATCH(E$3,rastreabilidade!$F$1:$H$1,0)),rastreabilidade!$M:$M,$L25,rastreabilidade!$N:$N,$AM25),0))
-IF($M25="",0,IFERROR(SUMIFS(INDEX(rastreabilidade!$F:$H,0,MATCH(E$3,rastreabilidade!$F$1:$H$1,0)),rastreabilidade!$M:$M,$M25,rastreabilidade!$N:$N,$AM25),0))</f>
        <v>0</v>
      </c>
      <c r="F25" s="131">
        <f>IFERROR(SUMIFS(INDEX(rastreabilidade!$F:$H,0,MATCH(F$3,rastreabilidade!$F$1:$H$1,0)),rastreabilidade!$N:$N,$AM25),0)
+IF($N25="",0,IFERROR(SUMIFS(INDEX(rastreabilidade!$F:$H,0,MATCH(F$3,rastreabilidade!$F$1:$H$1,0)),rastreabilidade!$M:$M,$N25),0))
+IF($O25="",0,IFERROR(SUMIFS(INDEX(rastreabilidade!$F:$H,0,MATCH(F$3,rastreabilidade!$F$1:$H$1,0)),rastreabilidade!$M:$M,$O25),0))
+IF($P25="",0,IFERROR(SUMIFS(INDEX(rastreabilidade!$F:$H,0,MATCH(F$3,rastreabilidade!$F$1:$H$1,0)),rastreabilidade!$M:$M,$P25),0))
+IF($Q25="",0,IFERROR(SUMIFS(INDEX(rastreabilidade!$F:$H,0,MATCH(F$3,rastreabilidade!$F$1:$H$1,0)),rastreabilidade!$M:$M,$Q25),0))
-IF($J25="",0,IFERROR(SUMIFS(INDEX(rastreabilidade!$F:$H,0,MATCH(F$3,rastreabilidade!$F$1:$H$1,0)),rastreabilidade!$M:$M,$J25,rastreabilidade!$N:$N,$AM25),0))
-IF($K25="",0,IFERROR(SUMIFS(INDEX(rastreabilidade!$F:$H,0,MATCH(F$3,rastreabilidade!$F$1:$H$1,0)),rastreabilidade!$M:$M,$K25,rastreabilidade!$N:$N,$AM25),0))
-IF($L25="",0,IFERROR(SUMIFS(INDEX(rastreabilidade!$F:$H,0,MATCH(F$3,rastreabilidade!$F$1:$H$1,0)),rastreabilidade!$M:$M,$L25,rastreabilidade!$N:$N,$AM25),0))
-IF($M25="",0,IFERROR(SUMIFS(INDEX(rastreabilidade!$F:$H,0,MATCH(F$3,rastreabilidade!$F$1:$H$1,0)),rastreabilidade!$M:$M,$M25,rastreabilidade!$N:$N,$AM25),0))</f>
        <v>0</v>
      </c>
      <c r="G25" s="132">
        <f>IFERROR(SUMIFS(INDEX(rastreabilidade!$F:$H,0,MATCH(G$3,rastreabilidade!$F$1:$H$1,0)),rastreabilidade!$N:$N,$AM25),0)
+IF($N25="",0,IFERROR(SUMIFS(INDEX(rastreabilidade!$F:$H,0,MATCH(G$3,rastreabilidade!$F$1:$H$1,0)),rastreabilidade!$M:$M,$N25),0))
+IF($O25="",0,IFERROR(SUMIFS(INDEX(rastreabilidade!$F:$H,0,MATCH(G$3,rastreabilidade!$F$1:$H$1,0)),rastreabilidade!$M:$M,$O25),0))
+IF($P25="",0,IFERROR(SUMIFS(INDEX(rastreabilidade!$F:$H,0,MATCH(G$3,rastreabilidade!$F$1:$H$1,0)),rastreabilidade!$M:$M,$P25),0))
+IF($Q25="",0,IFERROR(SUMIFS(INDEX(rastreabilidade!$F:$H,0,MATCH(G$3,rastreabilidade!$F$1:$H$1,0)),rastreabilidade!$M:$M,$Q25),0))
-IF($J25="",0,IFERROR(SUMIFS(INDEX(rastreabilidade!$F:$H,0,MATCH(G$3,rastreabilidade!$F$1:$H$1,0)),rastreabilidade!$M:$M,$J25,rastreabilidade!$N:$N,$AM25),0))
-IF($K25="",0,IFERROR(SUMIFS(INDEX(rastreabilidade!$F:$H,0,MATCH(G$3,rastreabilidade!$F$1:$H$1,0)),rastreabilidade!$M:$M,$K25,rastreabilidade!$N:$N,$AM25),0))
-IF($L25="",0,IFERROR(SUMIFS(INDEX(rastreabilidade!$F:$H,0,MATCH(G$3,rastreabilidade!$F$1:$H$1,0)),rastreabilidade!$M:$M,$L25,rastreabilidade!$N:$N,$AM25),0))
-IF($M25="",0,IFERROR(SUMIFS(INDEX(rastreabilidade!$F:$H,0,MATCH(G$3,rastreabilidade!$F$1:$H$1,0)),rastreabilidade!$M:$M,$M25,rastreabilidade!$N:$N,$AM25),0))</f>
        <v>0</v>
      </c>
      <c r="H25" s="40"/>
      <c r="I25" s="155" t="str" cm="1">
        <f t="array" ref="I25">_xlfn.LET(
_xlpm.mem,H25,
_xlpm.retiradas,J25:M25,
_xlpm.adicoes,N25:Q25,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25" s="54"/>
      <c r="K25" s="54"/>
      <c r="L25" s="54"/>
      <c r="M25" s="54"/>
      <c r="N25" s="58"/>
      <c r="O25" s="58"/>
      <c r="P25" s="58"/>
      <c r="Q25" s="108"/>
      <c r="R25" s="4"/>
      <c r="S25" s="98" t="s">
        <v>60</v>
      </c>
      <c r="T25" s="12">
        <f>IFERROR(SUMIFS(INDEX(rastreabilidade!$F:$H,0,MATCH($T$2,rastreabilidade!$F$1:$H$1,0)),rastreabilidade!$K:$K,$S25,rastreabilidade!$D:$D,"Sim"),0)</f>
        <v>0</v>
      </c>
      <c r="U25" s="35"/>
      <c r="V25" s="4"/>
      <c r="W25" s="158">
        <f>IFERROR(SUMIFS(INDEX(rastreabilidade!$F:$H,0,MATCH(W$3,rastreabilidade!$F$1:$H$1,0)),rastreabilidade!$N:$N,$AN25),0)*IF($AB25="sim",-1,1)
+IF($AG25="",0,IFERROR(SUMIFS(INDEX(rastreabilidade!$F:$H,0,MATCH(W$3,rastreabilidade!$F$1:$H$1,0)),rastreabilidade!$M:$M,$AG25),0))
+IF($AH25="",0,IFERROR(SUMIFS(INDEX(rastreabilidade!$F:$H,0,MATCH(W$3,rastreabilidade!$F$1:$H$1,0)),rastreabilidade!$M:$M,$AH25),0))
+IF($AI25="",0,IFERROR(SUMIFS(INDEX(rastreabilidade!$F:$H,0,MATCH(W$3,rastreabilidade!$F$1:$H$1,0)),rastreabilidade!$M:$M,$AI25),0))
+IF($AJ25="",0,IFERROR(SUMIFS(INDEX(rastreabilidade!$F:$H,0,MATCH(W$3,rastreabilidade!$F$1:$H$1,0)),rastreabilidade!$M:$M,$AJ25),0))
-IF($AC25="",0,IFERROR(SUMIFS(INDEX(rastreabilidade!$F:$H,0,MATCH(W$3,rastreabilidade!$F$1:$H$1,0)),rastreabilidade!$M:$M,$AC25,rastreabilidade!$N:$N,$AN25),0))
-IF($AD25="",0,IFERROR(SUMIFS(INDEX(rastreabilidade!$F:$H,0,MATCH(W$3,rastreabilidade!$F$1:$H$1,0)),rastreabilidade!$M:$M,$AD25,rastreabilidade!$N:$N,$AN25),0))
-IF($AE25="",0,IFERROR(SUMIFS(INDEX(rastreabilidade!$F:$H,0,MATCH(W$3,rastreabilidade!$F$1:$H$1,0)),rastreabilidade!$M:$M,$AE25,rastreabilidade!$N:$N,$AN25),0))
-IF($AF25="",0,IFERROR(SUMIFS(INDEX(rastreabilidade!$F:$H,0,MATCH(W$3,rastreabilidade!$F$1:$H$1,0)),rastreabilidade!$M:$M,$AF25,rastreabilidade!$N:$N,$AN25),0))</f>
        <v>0</v>
      </c>
      <c r="X25" s="158">
        <f>IFERROR(SUMIFS(INDEX(rastreabilidade!$F:$H,0,MATCH(X$3,rastreabilidade!$F$1:$H$1,0)),rastreabilidade!$N:$N,$AN25),0)*IF($AB25="sim",-1,1)
+IF($AG25="",0,IFERROR(SUMIFS(INDEX(rastreabilidade!$F:$H,0,MATCH(X$3,rastreabilidade!$F$1:$H$1,0)),rastreabilidade!$M:$M,$AG25),0))
+IF($AH25="",0,IFERROR(SUMIFS(INDEX(rastreabilidade!$F:$H,0,MATCH(X$3,rastreabilidade!$F$1:$H$1,0)),rastreabilidade!$M:$M,$AH25),0))
+IF($AI25="",0,IFERROR(SUMIFS(INDEX(rastreabilidade!$F:$H,0,MATCH(X$3,rastreabilidade!$F$1:$H$1,0)),rastreabilidade!$M:$M,$AI25),0))
+IF($AJ25="",0,IFERROR(SUMIFS(INDEX(rastreabilidade!$F:$H,0,MATCH(X$3,rastreabilidade!$F$1:$H$1,0)),rastreabilidade!$M:$M,$AJ25),0))
-IF($AC25="",0,IFERROR(SUMIFS(INDEX(rastreabilidade!$F:$H,0,MATCH(X$3,rastreabilidade!$F$1:$H$1,0)),rastreabilidade!$M:$M,$AC25,rastreabilidade!$N:$N,$AN25),0))
-IF($AD25="",0,IFERROR(SUMIFS(INDEX(rastreabilidade!$F:$H,0,MATCH(X$3,rastreabilidade!$F$1:$H$1,0)),rastreabilidade!$M:$M,$AD25,rastreabilidade!$N:$N,$AN25),0))
-IF($AE25="",0,IFERROR(SUMIFS(INDEX(rastreabilidade!$F:$H,0,MATCH(X$3,rastreabilidade!$F$1:$H$1,0)),rastreabilidade!$M:$M,$AE25,rastreabilidade!$N:$N,$AN25),0))
-IF($AF25="",0,IFERROR(SUMIFS(INDEX(rastreabilidade!$F:$H,0,MATCH(X$3,rastreabilidade!$F$1:$H$1,0)),rastreabilidade!$M:$M,$AF25,rastreabilidade!$N:$N,$AN25),0))</f>
        <v>0</v>
      </c>
      <c r="Y25" s="158">
        <f>IFERROR(SUMIFS(INDEX(rastreabilidade!$F:$H,0,MATCH(Y$3,rastreabilidade!$F$1:$H$1,0)),rastreabilidade!$N:$N,$AN25),0)*IF($AB25="sim",-1,1)
+IF($AG25="",0,IFERROR(SUMIFS(INDEX(rastreabilidade!$F:$H,0,MATCH(Y$3,rastreabilidade!$F$1:$H$1,0)),rastreabilidade!$M:$M,$AG25),0))
+IF($AH25="",0,IFERROR(SUMIFS(INDEX(rastreabilidade!$F:$H,0,MATCH(Y$3,rastreabilidade!$F$1:$H$1,0)),rastreabilidade!$M:$M,$AH25),0))
+IF($AI25="",0,IFERROR(SUMIFS(INDEX(rastreabilidade!$F:$H,0,MATCH(Y$3,rastreabilidade!$F$1:$H$1,0)),rastreabilidade!$M:$M,$AI25),0))
+IF($AJ25="",0,IFERROR(SUMIFS(INDEX(rastreabilidade!$F:$H,0,MATCH(Y$3,rastreabilidade!$F$1:$H$1,0)),rastreabilidade!$M:$M,$AJ25),0))
-IF($AC25="",0,IFERROR(SUMIFS(INDEX(rastreabilidade!$F:$H,0,MATCH(Y$3,rastreabilidade!$F$1:$H$1,0)),rastreabilidade!$M:$M,$AC25,rastreabilidade!$N:$N,$AN25),0))
-IF($AD25="",0,IFERROR(SUMIFS(INDEX(rastreabilidade!$F:$H,0,MATCH(Y$3,rastreabilidade!$F$1:$H$1,0)),rastreabilidade!$M:$M,$AD25,rastreabilidade!$N:$N,$AN25),0))
-IF($AE25="",0,IFERROR(SUMIFS(INDEX(rastreabilidade!$F:$H,0,MATCH(Y$3,rastreabilidade!$F$1:$H$1,0)),rastreabilidade!$M:$M,$AE25,rastreabilidade!$N:$N,$AN25),0))
-IF($AF25="",0,IFERROR(SUMIFS(INDEX(rastreabilidade!$F:$H,0,MATCH(Y$3,rastreabilidade!$F$1:$H$1,0)),rastreabilidade!$M:$M,$AF25,rastreabilidade!$N:$N,$AN25),0))</f>
        <v>0</v>
      </c>
      <c r="Z25" s="47"/>
      <c r="AA25" s="177" t="str" cm="1">
        <f t="array" ref="AA25">_xlfn.LET(
_xlpm.mem,Z25,
_xlpm.retiradas,AC25:AF25,
_xlpm.adicoes,AG25:AJ25,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25" s="114"/>
      <c r="AC25" s="54"/>
      <c r="AD25" s="54"/>
      <c r="AE25" s="54"/>
      <c r="AF25" s="54"/>
      <c r="AG25" s="58"/>
      <c r="AH25" s="58"/>
      <c r="AI25" s="58"/>
      <c r="AJ25" s="108"/>
      <c r="AL25" s="5"/>
      <c r="AM25" s="5" t="str">
        <f t="shared" si="2"/>
        <v>Impostos a recuperar/Crédito tributário|Ativo|Não Circulante</v>
      </c>
      <c r="AN25" s="5" t="str">
        <f t="shared" si="1"/>
        <v>+/- Equivalência Patrimonial|DRE|DRE</v>
      </c>
      <c r="AO25" s="5"/>
      <c r="AP25" s="5"/>
      <c r="AQ25" s="6"/>
      <c r="AR25" s="7"/>
      <c r="AS25" s="7"/>
      <c r="AT25" s="7"/>
    </row>
    <row r="26" spans="1:46" ht="35.1" customHeight="1" x14ac:dyDescent="0.25">
      <c r="A26" s="78" t="s">
        <v>61</v>
      </c>
      <c r="B26" s="131">
        <f>IFERROR(SUMIFS(INDEX(rastreabilidade!$F:$H,0,MATCH($B$2,rastreabilidade!$F$1:$H$1,0)),rastreabilidade!$K:$K,$A26,rastreabilidade!$D:$D,"Sim"),0)</f>
        <v>0</v>
      </c>
      <c r="C26" s="35"/>
      <c r="D26" s="4"/>
      <c r="E26" s="131">
        <f>IFERROR(SUMIFS(INDEX(rastreabilidade!$F:$H,0,MATCH(E$3,rastreabilidade!$F$1:$H$1,0)),rastreabilidade!$N:$N,$AM26),0)
+IF($N26="",0,IFERROR(SUMIFS(INDEX(rastreabilidade!$F:$H,0,MATCH(E$3,rastreabilidade!$F$1:$H$1,0)),rastreabilidade!$M:$M,$N26),0))
+IF($O26="",0,IFERROR(SUMIFS(INDEX(rastreabilidade!$F:$H,0,MATCH(E$3,rastreabilidade!$F$1:$H$1,0)),rastreabilidade!$M:$M,$O26),0))
+IF($P26="",0,IFERROR(SUMIFS(INDEX(rastreabilidade!$F:$H,0,MATCH(E$3,rastreabilidade!$F$1:$H$1,0)),rastreabilidade!$M:$M,$P26),0))
+IF($Q26="",0,IFERROR(SUMIFS(INDEX(rastreabilidade!$F:$H,0,MATCH(E$3,rastreabilidade!$F$1:$H$1,0)),rastreabilidade!$M:$M,$Q26),0))
-IF($J26="",0,IFERROR(SUMIFS(INDEX(rastreabilidade!$F:$H,0,MATCH(E$3,rastreabilidade!$F$1:$H$1,0)),rastreabilidade!$M:$M,$J26,rastreabilidade!$N:$N,$AM26),0))
-IF($K26="",0,IFERROR(SUMIFS(INDEX(rastreabilidade!$F:$H,0,MATCH(E$3,rastreabilidade!$F$1:$H$1,0)),rastreabilidade!$M:$M,$K26,rastreabilidade!$N:$N,$AM26),0))
-IF($L26="",0,IFERROR(SUMIFS(INDEX(rastreabilidade!$F:$H,0,MATCH(E$3,rastreabilidade!$F$1:$H$1,0)),rastreabilidade!$M:$M,$L26,rastreabilidade!$N:$N,$AM26),0))
-IF($M26="",0,IFERROR(SUMIFS(INDEX(rastreabilidade!$F:$H,0,MATCH(E$3,rastreabilidade!$F$1:$H$1,0)),rastreabilidade!$M:$M,$M26,rastreabilidade!$N:$N,$AM26),0))</f>
        <v>0</v>
      </c>
      <c r="F26" s="131">
        <f>IFERROR(SUMIFS(INDEX(rastreabilidade!$F:$H,0,MATCH(F$3,rastreabilidade!$F$1:$H$1,0)),rastreabilidade!$N:$N,$AM26),0)
+IF($N26="",0,IFERROR(SUMIFS(INDEX(rastreabilidade!$F:$H,0,MATCH(F$3,rastreabilidade!$F$1:$H$1,0)),rastreabilidade!$M:$M,$N26),0))
+IF($O26="",0,IFERROR(SUMIFS(INDEX(rastreabilidade!$F:$H,0,MATCH(F$3,rastreabilidade!$F$1:$H$1,0)),rastreabilidade!$M:$M,$O26),0))
+IF($P26="",0,IFERROR(SUMIFS(INDEX(rastreabilidade!$F:$H,0,MATCH(F$3,rastreabilidade!$F$1:$H$1,0)),rastreabilidade!$M:$M,$P26),0))
+IF($Q26="",0,IFERROR(SUMIFS(INDEX(rastreabilidade!$F:$H,0,MATCH(F$3,rastreabilidade!$F$1:$H$1,0)),rastreabilidade!$M:$M,$Q26),0))
-IF($J26="",0,IFERROR(SUMIFS(INDEX(rastreabilidade!$F:$H,0,MATCH(F$3,rastreabilidade!$F$1:$H$1,0)),rastreabilidade!$M:$M,$J26,rastreabilidade!$N:$N,$AM26),0))
-IF($K26="",0,IFERROR(SUMIFS(INDEX(rastreabilidade!$F:$H,0,MATCH(F$3,rastreabilidade!$F$1:$H$1,0)),rastreabilidade!$M:$M,$K26,rastreabilidade!$N:$N,$AM26),0))
-IF($L26="",0,IFERROR(SUMIFS(INDEX(rastreabilidade!$F:$H,0,MATCH(F$3,rastreabilidade!$F$1:$H$1,0)),rastreabilidade!$M:$M,$L26,rastreabilidade!$N:$N,$AM26),0))
-IF($M26="",0,IFERROR(SUMIFS(INDEX(rastreabilidade!$F:$H,0,MATCH(F$3,rastreabilidade!$F$1:$H$1,0)),rastreabilidade!$M:$M,$M26,rastreabilidade!$N:$N,$AM26),0))</f>
        <v>0</v>
      </c>
      <c r="G26" s="132">
        <f>IFERROR(SUMIFS(INDEX(rastreabilidade!$F:$H,0,MATCH(G$3,rastreabilidade!$F$1:$H$1,0)),rastreabilidade!$N:$N,$AM26),0)
+IF($N26="",0,IFERROR(SUMIFS(INDEX(rastreabilidade!$F:$H,0,MATCH(G$3,rastreabilidade!$F$1:$H$1,0)),rastreabilidade!$M:$M,$N26),0))
+IF($O26="",0,IFERROR(SUMIFS(INDEX(rastreabilidade!$F:$H,0,MATCH(G$3,rastreabilidade!$F$1:$H$1,0)),rastreabilidade!$M:$M,$O26),0))
+IF($P26="",0,IFERROR(SUMIFS(INDEX(rastreabilidade!$F:$H,0,MATCH(G$3,rastreabilidade!$F$1:$H$1,0)),rastreabilidade!$M:$M,$P26),0))
+IF($Q26="",0,IFERROR(SUMIFS(INDEX(rastreabilidade!$F:$H,0,MATCH(G$3,rastreabilidade!$F$1:$H$1,0)),rastreabilidade!$M:$M,$Q26),0))
-IF($J26="",0,IFERROR(SUMIFS(INDEX(rastreabilidade!$F:$H,0,MATCH(G$3,rastreabilidade!$F$1:$H$1,0)),rastreabilidade!$M:$M,$J26,rastreabilidade!$N:$N,$AM26),0))
-IF($K26="",0,IFERROR(SUMIFS(INDEX(rastreabilidade!$F:$H,0,MATCH(G$3,rastreabilidade!$F$1:$H$1,0)),rastreabilidade!$M:$M,$K26,rastreabilidade!$N:$N,$AM26),0))
-IF($L26="",0,IFERROR(SUMIFS(INDEX(rastreabilidade!$F:$H,0,MATCH(G$3,rastreabilidade!$F$1:$H$1,0)),rastreabilidade!$M:$M,$L26,rastreabilidade!$N:$N,$AM26),0))
-IF($M26="",0,IFERROR(SUMIFS(INDEX(rastreabilidade!$F:$H,0,MATCH(G$3,rastreabilidade!$F$1:$H$1,0)),rastreabilidade!$M:$M,$M26,rastreabilidade!$N:$N,$AM26),0))</f>
        <v>0</v>
      </c>
      <c r="H26" s="40"/>
      <c r="I26" s="155" t="str" cm="1">
        <f t="array" ref="I26">_xlfn.LET(
_xlpm.mem,H26,
_xlpm.retiradas,J26:M26,
_xlpm.adicoes,N26:Q26,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26" s="54"/>
      <c r="K26" s="54"/>
      <c r="L26" s="54"/>
      <c r="M26" s="54"/>
      <c r="N26" s="58"/>
      <c r="O26" s="58"/>
      <c r="P26" s="58"/>
      <c r="Q26" s="108"/>
      <c r="R26" s="4"/>
      <c r="S26" s="90" t="s">
        <v>62</v>
      </c>
      <c r="T26" s="14">
        <f>+T15+T23+T24+T25</f>
        <v>0</v>
      </c>
      <c r="U26" s="51"/>
      <c r="V26" s="4"/>
      <c r="W26" s="159">
        <f>+W15+W23+W24+W25</f>
        <v>0</v>
      </c>
      <c r="X26" s="159">
        <f>+X15+X23+X24+X25</f>
        <v>0</v>
      </c>
      <c r="Y26" s="159">
        <f>+Y15+Y23+Y24+Y25</f>
        <v>0</v>
      </c>
      <c r="Z26" s="47"/>
      <c r="AA26" s="51"/>
      <c r="AB26" s="115"/>
      <c r="AC26" s="51"/>
      <c r="AD26" s="51"/>
      <c r="AE26" s="51"/>
      <c r="AF26" s="51"/>
      <c r="AG26" s="51"/>
      <c r="AH26" s="51"/>
      <c r="AI26" s="51"/>
      <c r="AJ26" s="105"/>
      <c r="AL26" s="5"/>
      <c r="AM26" s="5" t="str">
        <f t="shared" si="2"/>
        <v>Mútuo Financeiro LP|Ativo|Não Circulante</v>
      </c>
      <c r="AN26" s="5" t="str">
        <f t="shared" si="1"/>
        <v>Lucro antes de Impostos e Extraordinários|DRE|DRE</v>
      </c>
      <c r="AO26" s="5"/>
      <c r="AP26" s="5"/>
      <c r="AQ26" s="6"/>
      <c r="AR26" s="7"/>
      <c r="AS26" s="7"/>
      <c r="AT26" s="7"/>
    </row>
    <row r="27" spans="1:46" ht="35.1" customHeight="1" x14ac:dyDescent="0.25">
      <c r="A27" s="78" t="s">
        <v>63</v>
      </c>
      <c r="B27" s="131">
        <f>IFERROR(SUMIFS(INDEX(rastreabilidade!$F:$H,0,MATCH($B$2,rastreabilidade!$F$1:$H$1,0)),rastreabilidade!$K:$K,$A27,rastreabilidade!$D:$D,"Sim"),0)</f>
        <v>0</v>
      </c>
      <c r="C27" s="35"/>
      <c r="D27" s="4"/>
      <c r="E27" s="131">
        <f>IFERROR(SUMIFS(INDEX(rastreabilidade!$F:$H,0,MATCH(E$3,rastreabilidade!$F$1:$H$1,0)),rastreabilidade!$N:$N,$AM27),0)
+IF($N27="",0,IFERROR(SUMIFS(INDEX(rastreabilidade!$F:$H,0,MATCH(E$3,rastreabilidade!$F$1:$H$1,0)),rastreabilidade!$M:$M,$N27),0))
+IF($O27="",0,IFERROR(SUMIFS(INDEX(rastreabilidade!$F:$H,0,MATCH(E$3,rastreabilidade!$F$1:$H$1,0)),rastreabilidade!$M:$M,$O27),0))
+IF($P27="",0,IFERROR(SUMIFS(INDEX(rastreabilidade!$F:$H,0,MATCH(E$3,rastreabilidade!$F$1:$H$1,0)),rastreabilidade!$M:$M,$P27),0))
+IF($Q27="",0,IFERROR(SUMIFS(INDEX(rastreabilidade!$F:$H,0,MATCH(E$3,rastreabilidade!$F$1:$H$1,0)),rastreabilidade!$M:$M,$Q27),0))
-IF($J27="",0,IFERROR(SUMIFS(INDEX(rastreabilidade!$F:$H,0,MATCH(E$3,rastreabilidade!$F$1:$H$1,0)),rastreabilidade!$M:$M,$J27,rastreabilidade!$N:$N,$AM27),0))
-IF($K27="",0,IFERROR(SUMIFS(INDEX(rastreabilidade!$F:$H,0,MATCH(E$3,rastreabilidade!$F$1:$H$1,0)),rastreabilidade!$M:$M,$K27,rastreabilidade!$N:$N,$AM27),0))
-IF($L27="",0,IFERROR(SUMIFS(INDEX(rastreabilidade!$F:$H,0,MATCH(E$3,rastreabilidade!$F$1:$H$1,0)),rastreabilidade!$M:$M,$L27,rastreabilidade!$N:$N,$AM27),0))
-IF($M27="",0,IFERROR(SUMIFS(INDEX(rastreabilidade!$F:$H,0,MATCH(E$3,rastreabilidade!$F$1:$H$1,0)),rastreabilidade!$M:$M,$M27,rastreabilidade!$N:$N,$AM27),0))</f>
        <v>0</v>
      </c>
      <c r="F27" s="131">
        <f>IFERROR(SUMIFS(INDEX(rastreabilidade!$F:$H,0,MATCH(F$3,rastreabilidade!$F$1:$H$1,0)),rastreabilidade!$N:$N,$AM27),0)
+IF($N27="",0,IFERROR(SUMIFS(INDEX(rastreabilidade!$F:$H,0,MATCH(F$3,rastreabilidade!$F$1:$H$1,0)),rastreabilidade!$M:$M,$N27),0))
+IF($O27="",0,IFERROR(SUMIFS(INDEX(rastreabilidade!$F:$H,0,MATCH(F$3,rastreabilidade!$F$1:$H$1,0)),rastreabilidade!$M:$M,$O27),0))
+IF($P27="",0,IFERROR(SUMIFS(INDEX(rastreabilidade!$F:$H,0,MATCH(F$3,rastreabilidade!$F$1:$H$1,0)),rastreabilidade!$M:$M,$P27),0))
+IF($Q27="",0,IFERROR(SUMIFS(INDEX(rastreabilidade!$F:$H,0,MATCH(F$3,rastreabilidade!$F$1:$H$1,0)),rastreabilidade!$M:$M,$Q27),0))
-IF($J27="",0,IFERROR(SUMIFS(INDEX(rastreabilidade!$F:$H,0,MATCH(F$3,rastreabilidade!$F$1:$H$1,0)),rastreabilidade!$M:$M,$J27,rastreabilidade!$N:$N,$AM27),0))
-IF($K27="",0,IFERROR(SUMIFS(INDEX(rastreabilidade!$F:$H,0,MATCH(F$3,rastreabilidade!$F$1:$H$1,0)),rastreabilidade!$M:$M,$K27,rastreabilidade!$N:$N,$AM27),0))
-IF($L27="",0,IFERROR(SUMIFS(INDEX(rastreabilidade!$F:$H,0,MATCH(F$3,rastreabilidade!$F$1:$H$1,0)),rastreabilidade!$M:$M,$L27,rastreabilidade!$N:$N,$AM27),0))
-IF($M27="",0,IFERROR(SUMIFS(INDEX(rastreabilidade!$F:$H,0,MATCH(F$3,rastreabilidade!$F$1:$H$1,0)),rastreabilidade!$M:$M,$M27,rastreabilidade!$N:$N,$AM27),0))</f>
        <v>0</v>
      </c>
      <c r="G27" s="132">
        <f>IFERROR(SUMIFS(INDEX(rastreabilidade!$F:$H,0,MATCH(G$3,rastreabilidade!$F$1:$H$1,0)),rastreabilidade!$N:$N,$AM27),0)
+IF($N27="",0,IFERROR(SUMIFS(INDEX(rastreabilidade!$F:$H,0,MATCH(G$3,rastreabilidade!$F$1:$H$1,0)),rastreabilidade!$M:$M,$N27),0))
+IF($O27="",0,IFERROR(SUMIFS(INDEX(rastreabilidade!$F:$H,0,MATCH(G$3,rastreabilidade!$F$1:$H$1,0)),rastreabilidade!$M:$M,$O27),0))
+IF($P27="",0,IFERROR(SUMIFS(INDEX(rastreabilidade!$F:$H,0,MATCH(G$3,rastreabilidade!$F$1:$H$1,0)),rastreabilidade!$M:$M,$P27),0))
+IF($Q27="",0,IFERROR(SUMIFS(INDEX(rastreabilidade!$F:$H,0,MATCH(G$3,rastreabilidade!$F$1:$H$1,0)),rastreabilidade!$M:$M,$Q27),0))
-IF($J27="",0,IFERROR(SUMIFS(INDEX(rastreabilidade!$F:$H,0,MATCH(G$3,rastreabilidade!$F$1:$H$1,0)),rastreabilidade!$M:$M,$J27,rastreabilidade!$N:$N,$AM27),0))
-IF($K27="",0,IFERROR(SUMIFS(INDEX(rastreabilidade!$F:$H,0,MATCH(G$3,rastreabilidade!$F$1:$H$1,0)),rastreabilidade!$M:$M,$K27,rastreabilidade!$N:$N,$AM27),0))
-IF($L27="",0,IFERROR(SUMIFS(INDEX(rastreabilidade!$F:$H,0,MATCH(G$3,rastreabilidade!$F$1:$H$1,0)),rastreabilidade!$M:$M,$L27,rastreabilidade!$N:$N,$AM27),0))
-IF($M27="",0,IFERROR(SUMIFS(INDEX(rastreabilidade!$F:$H,0,MATCH(G$3,rastreabilidade!$F$1:$H$1,0)),rastreabilidade!$M:$M,$M27,rastreabilidade!$N:$N,$AM27),0))</f>
        <v>0</v>
      </c>
      <c r="H27" s="40"/>
      <c r="I27" s="155" t="str" cm="1">
        <f t="array" ref="I27">_xlfn.LET(
_xlpm.mem,H27,
_xlpm.retiradas,J27:M27,
_xlpm.adicoes,N27:Q27,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27" s="54"/>
      <c r="K27" s="54"/>
      <c r="L27" s="54"/>
      <c r="M27" s="54"/>
      <c r="N27" s="58"/>
      <c r="O27" s="58"/>
      <c r="P27" s="58"/>
      <c r="Q27" s="108"/>
      <c r="R27" s="4"/>
      <c r="S27" s="98" t="s">
        <v>64</v>
      </c>
      <c r="T27" s="11">
        <f>IFERROR(SUMIFS(INDEX(rastreabilidade!$F:$H,0,MATCH($T$2,rastreabilidade!$F$1:$H$1,0)),rastreabilidade!$K:$K,$S27,rastreabilidade!$D:$D,"Sim"),0)</f>
        <v>0</v>
      </c>
      <c r="U27" s="35"/>
      <c r="V27" s="4"/>
      <c r="W27" s="156">
        <f>IFERROR(SUMIFS(INDEX(rastreabilidade!$F:$H,0,MATCH(W$3,rastreabilidade!$F$1:$H$1,0)),rastreabilidade!$N:$N,$AN27),0)*IF($AB27="sim",-1,1)
+IF($AG27="",0,IFERROR(SUMIFS(INDEX(rastreabilidade!$F:$H,0,MATCH(W$3,rastreabilidade!$F$1:$H$1,0)),rastreabilidade!$M:$M,$AG27),0))
+IF($AH27="",0,IFERROR(SUMIFS(INDEX(rastreabilidade!$F:$H,0,MATCH(W$3,rastreabilidade!$F$1:$H$1,0)),rastreabilidade!$M:$M,$AH27),0))
+IF($AI27="",0,IFERROR(SUMIFS(INDEX(rastreabilidade!$F:$H,0,MATCH(W$3,rastreabilidade!$F$1:$H$1,0)),rastreabilidade!$M:$M,$AI27),0))
+IF($AJ27="",0,IFERROR(SUMIFS(INDEX(rastreabilidade!$F:$H,0,MATCH(W$3,rastreabilidade!$F$1:$H$1,0)),rastreabilidade!$M:$M,$AJ27),0))
-IF($AC27="",0,IFERROR(SUMIFS(INDEX(rastreabilidade!$F:$H,0,MATCH(W$3,rastreabilidade!$F$1:$H$1,0)),rastreabilidade!$M:$M,$AC27,rastreabilidade!$N:$N,$AN27),0))
-IF($AD27="",0,IFERROR(SUMIFS(INDEX(rastreabilidade!$F:$H,0,MATCH(W$3,rastreabilidade!$F$1:$H$1,0)),rastreabilidade!$M:$M,$AD27,rastreabilidade!$N:$N,$AN27),0))
-IF($AE27="",0,IFERROR(SUMIFS(INDEX(rastreabilidade!$F:$H,0,MATCH(W$3,rastreabilidade!$F$1:$H$1,0)),rastreabilidade!$M:$M,$AE27,rastreabilidade!$N:$N,$AN27),0))
-IF($AF27="",0,IFERROR(SUMIFS(INDEX(rastreabilidade!$F:$H,0,MATCH(W$3,rastreabilidade!$F$1:$H$1,0)),rastreabilidade!$M:$M,$AF27,rastreabilidade!$N:$N,$AN27),0))</f>
        <v>0</v>
      </c>
      <c r="X27" s="156">
        <f>IFERROR(SUMIFS(INDEX(rastreabilidade!$F:$H,0,MATCH(X$3,rastreabilidade!$F$1:$H$1,0)),rastreabilidade!$N:$N,$AN27),0)*IF($AB27="sim",-1,1)
+IF($AG27="",0,IFERROR(SUMIFS(INDEX(rastreabilidade!$F:$H,0,MATCH(X$3,rastreabilidade!$F$1:$H$1,0)),rastreabilidade!$M:$M,$AG27),0))
+IF($AH27="",0,IFERROR(SUMIFS(INDEX(rastreabilidade!$F:$H,0,MATCH(X$3,rastreabilidade!$F$1:$H$1,0)),rastreabilidade!$M:$M,$AH27),0))
+IF($AI27="",0,IFERROR(SUMIFS(INDEX(rastreabilidade!$F:$H,0,MATCH(X$3,rastreabilidade!$F$1:$H$1,0)),rastreabilidade!$M:$M,$AI27),0))
+IF($AJ27="",0,IFERROR(SUMIFS(INDEX(rastreabilidade!$F:$H,0,MATCH(X$3,rastreabilidade!$F$1:$H$1,0)),rastreabilidade!$M:$M,$AJ27),0))
-IF($AC27="",0,IFERROR(SUMIFS(INDEX(rastreabilidade!$F:$H,0,MATCH(X$3,rastreabilidade!$F$1:$H$1,0)),rastreabilidade!$M:$M,$AC27,rastreabilidade!$N:$N,$AN27),0))
-IF($AD27="",0,IFERROR(SUMIFS(INDEX(rastreabilidade!$F:$H,0,MATCH(X$3,rastreabilidade!$F$1:$H$1,0)),rastreabilidade!$M:$M,$AD27,rastreabilidade!$N:$N,$AN27),0))
-IF($AE27="",0,IFERROR(SUMIFS(INDEX(rastreabilidade!$F:$H,0,MATCH(X$3,rastreabilidade!$F$1:$H$1,0)),rastreabilidade!$M:$M,$AE27,rastreabilidade!$N:$N,$AN27),0))
-IF($AF27="",0,IFERROR(SUMIFS(INDEX(rastreabilidade!$F:$H,0,MATCH(X$3,rastreabilidade!$F$1:$H$1,0)),rastreabilidade!$M:$M,$AF27,rastreabilidade!$N:$N,$AN27),0))</f>
        <v>0</v>
      </c>
      <c r="Y27" s="156">
        <f>IFERROR(SUMIFS(INDEX(rastreabilidade!$F:$H,0,MATCH(Y$3,rastreabilidade!$F$1:$H$1,0)),rastreabilidade!$N:$N,$AN27),0)*IF($AB27="sim",-1,1)
+IF($AG27="",0,IFERROR(SUMIFS(INDEX(rastreabilidade!$F:$H,0,MATCH(Y$3,rastreabilidade!$F$1:$H$1,0)),rastreabilidade!$M:$M,$AG27),0))
+IF($AH27="",0,IFERROR(SUMIFS(INDEX(rastreabilidade!$F:$H,0,MATCH(Y$3,rastreabilidade!$F$1:$H$1,0)),rastreabilidade!$M:$M,$AH27),0))
+IF($AI27="",0,IFERROR(SUMIFS(INDEX(rastreabilidade!$F:$H,0,MATCH(Y$3,rastreabilidade!$F$1:$H$1,0)),rastreabilidade!$M:$M,$AI27),0))
+IF($AJ27="",0,IFERROR(SUMIFS(INDEX(rastreabilidade!$F:$H,0,MATCH(Y$3,rastreabilidade!$F$1:$H$1,0)),rastreabilidade!$M:$M,$AJ27),0))
-IF($AC27="",0,IFERROR(SUMIFS(INDEX(rastreabilidade!$F:$H,0,MATCH(Y$3,rastreabilidade!$F$1:$H$1,0)),rastreabilidade!$M:$M,$AC27,rastreabilidade!$N:$N,$AN27),0))
-IF($AD27="",0,IFERROR(SUMIFS(INDEX(rastreabilidade!$F:$H,0,MATCH(Y$3,rastreabilidade!$F$1:$H$1,0)),rastreabilidade!$M:$M,$AD27,rastreabilidade!$N:$N,$AN27),0))
-IF($AE27="",0,IFERROR(SUMIFS(INDEX(rastreabilidade!$F:$H,0,MATCH(Y$3,rastreabilidade!$F$1:$H$1,0)),rastreabilidade!$M:$M,$AE27,rastreabilidade!$N:$N,$AN27),0))
-IF($AF27="",0,IFERROR(SUMIFS(INDEX(rastreabilidade!$F:$H,0,MATCH(Y$3,rastreabilidade!$F$1:$H$1,0)),rastreabilidade!$M:$M,$AF27,rastreabilidade!$N:$N,$AN27),0))</f>
        <v>0</v>
      </c>
      <c r="Z27" s="36"/>
      <c r="AA27" s="177" t="str" cm="1">
        <f t="array" ref="AA27">_xlfn.LET(
_xlpm.mem,Z27,
_xlpm.retiradas,AC27:AF27,
_xlpm.adicoes,AG27:AJ27,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27" s="114"/>
      <c r="AC27" s="54"/>
      <c r="AD27" s="54"/>
      <c r="AE27" s="54"/>
      <c r="AF27" s="54"/>
      <c r="AG27" s="58"/>
      <c r="AH27" s="58"/>
      <c r="AI27" s="58"/>
      <c r="AJ27" s="108"/>
      <c r="AL27" s="5"/>
      <c r="AM27" s="5" t="str">
        <f t="shared" si="2"/>
        <v>Aplicações Financeiras de LP|Ativo|Não Circulante</v>
      </c>
      <c r="AN27" s="5" t="str">
        <f t="shared" si="1"/>
        <v>Outros não recorrentes e/ou não operacionais|DRE|DRE</v>
      </c>
      <c r="AO27" s="5"/>
      <c r="AP27" s="5"/>
      <c r="AQ27" s="6"/>
      <c r="AR27" s="7"/>
      <c r="AS27" s="7"/>
      <c r="AT27" s="7"/>
    </row>
    <row r="28" spans="1:46" ht="35.1" customHeight="1" x14ac:dyDescent="0.25">
      <c r="A28" s="117" t="s">
        <v>65</v>
      </c>
      <c r="B28" s="131">
        <f>IFERROR(SUMIFS(INDEX(rastreabilidade!$F:$H,0,MATCH($B$2,rastreabilidade!$F$1:$H$1,0)),rastreabilidade!$K:$K,$A28,rastreabilidade!$D:$D,"Sim"),0)</f>
        <v>0</v>
      </c>
      <c r="C28" s="35"/>
      <c r="D28" s="4"/>
      <c r="E28" s="131">
        <f>IFERROR(SUMIFS(INDEX(rastreabilidade!$F:$H,0,MATCH(E$3,rastreabilidade!$F$1:$H$1,0)),rastreabilidade!$N:$N,$AM28),0)
+IF($N28="",0,IFERROR(SUMIFS(INDEX(rastreabilidade!$F:$H,0,MATCH(E$3,rastreabilidade!$F$1:$H$1,0)),rastreabilidade!$M:$M,$N28),0))
+IF($O28="",0,IFERROR(SUMIFS(INDEX(rastreabilidade!$F:$H,0,MATCH(E$3,rastreabilidade!$F$1:$H$1,0)),rastreabilidade!$M:$M,$O28),0))
+IF($P28="",0,IFERROR(SUMIFS(INDEX(rastreabilidade!$F:$H,0,MATCH(E$3,rastreabilidade!$F$1:$H$1,0)),rastreabilidade!$M:$M,$P28),0))
+IF($Q28="",0,IFERROR(SUMIFS(INDEX(rastreabilidade!$F:$H,0,MATCH(E$3,rastreabilidade!$F$1:$H$1,0)),rastreabilidade!$M:$M,$Q28),0))
-IF($J28="",0,IFERROR(SUMIFS(INDEX(rastreabilidade!$F:$H,0,MATCH(E$3,rastreabilidade!$F$1:$H$1,0)),rastreabilidade!$M:$M,$J28,rastreabilidade!$N:$N,$AM28),0))
-IF($K28="",0,IFERROR(SUMIFS(INDEX(rastreabilidade!$F:$H,0,MATCH(E$3,rastreabilidade!$F$1:$H$1,0)),rastreabilidade!$M:$M,$K28,rastreabilidade!$N:$N,$AM28),0))
-IF($L28="",0,IFERROR(SUMIFS(INDEX(rastreabilidade!$F:$H,0,MATCH(E$3,rastreabilidade!$F$1:$H$1,0)),rastreabilidade!$M:$M,$L28,rastreabilidade!$N:$N,$AM28),0))
-IF($M28="",0,IFERROR(SUMIFS(INDEX(rastreabilidade!$F:$H,0,MATCH(E$3,rastreabilidade!$F$1:$H$1,0)),rastreabilidade!$M:$M,$M28,rastreabilidade!$N:$N,$AM28),0))</f>
        <v>0</v>
      </c>
      <c r="F28" s="131">
        <f>IFERROR(SUMIFS(INDEX(rastreabilidade!$F:$H,0,MATCH(F$3,rastreabilidade!$F$1:$H$1,0)),rastreabilidade!$N:$N,$AM28),0)
+IF($N28="",0,IFERROR(SUMIFS(INDEX(rastreabilidade!$F:$H,0,MATCH(F$3,rastreabilidade!$F$1:$H$1,0)),rastreabilidade!$M:$M,$N28),0))
+IF($O28="",0,IFERROR(SUMIFS(INDEX(rastreabilidade!$F:$H,0,MATCH(F$3,rastreabilidade!$F$1:$H$1,0)),rastreabilidade!$M:$M,$O28),0))
+IF($P28="",0,IFERROR(SUMIFS(INDEX(rastreabilidade!$F:$H,0,MATCH(F$3,rastreabilidade!$F$1:$H$1,0)),rastreabilidade!$M:$M,$P28),0))
+IF($Q28="",0,IFERROR(SUMIFS(INDEX(rastreabilidade!$F:$H,0,MATCH(F$3,rastreabilidade!$F$1:$H$1,0)),rastreabilidade!$M:$M,$Q28),0))
-IF($J28="",0,IFERROR(SUMIFS(INDEX(rastreabilidade!$F:$H,0,MATCH(F$3,rastreabilidade!$F$1:$H$1,0)),rastreabilidade!$M:$M,$J28,rastreabilidade!$N:$N,$AM28),0))
-IF($K28="",0,IFERROR(SUMIFS(INDEX(rastreabilidade!$F:$H,0,MATCH(F$3,rastreabilidade!$F$1:$H$1,0)),rastreabilidade!$M:$M,$K28,rastreabilidade!$N:$N,$AM28),0))
-IF($L28="",0,IFERROR(SUMIFS(INDEX(rastreabilidade!$F:$H,0,MATCH(F$3,rastreabilidade!$F$1:$H$1,0)),rastreabilidade!$M:$M,$L28,rastreabilidade!$N:$N,$AM28),0))
-IF($M28="",0,IFERROR(SUMIFS(INDEX(rastreabilidade!$F:$H,0,MATCH(F$3,rastreabilidade!$F$1:$H$1,0)),rastreabilidade!$M:$M,$M28,rastreabilidade!$N:$N,$AM28),0))</f>
        <v>0</v>
      </c>
      <c r="G28" s="132">
        <f>IFERROR(SUMIFS(INDEX(rastreabilidade!$F:$H,0,MATCH(G$3,rastreabilidade!$F$1:$H$1,0)),rastreabilidade!$N:$N,$AM28),0)
+IF($N28="",0,IFERROR(SUMIFS(INDEX(rastreabilidade!$F:$H,0,MATCH(G$3,rastreabilidade!$F$1:$H$1,0)),rastreabilidade!$M:$M,$N28),0))
+IF($O28="",0,IFERROR(SUMIFS(INDEX(rastreabilidade!$F:$H,0,MATCH(G$3,rastreabilidade!$F$1:$H$1,0)),rastreabilidade!$M:$M,$O28),0))
+IF($P28="",0,IFERROR(SUMIFS(INDEX(rastreabilidade!$F:$H,0,MATCH(G$3,rastreabilidade!$F$1:$H$1,0)),rastreabilidade!$M:$M,$P28),0))
+IF($Q28="",0,IFERROR(SUMIFS(INDEX(rastreabilidade!$F:$H,0,MATCH(G$3,rastreabilidade!$F$1:$H$1,0)),rastreabilidade!$M:$M,$Q28),0))
-IF($J28="",0,IFERROR(SUMIFS(INDEX(rastreabilidade!$F:$H,0,MATCH(G$3,rastreabilidade!$F$1:$H$1,0)),rastreabilidade!$M:$M,$J28,rastreabilidade!$N:$N,$AM28),0))
-IF($K28="",0,IFERROR(SUMIFS(INDEX(rastreabilidade!$F:$H,0,MATCH(G$3,rastreabilidade!$F$1:$H$1,0)),rastreabilidade!$M:$M,$K28,rastreabilidade!$N:$N,$AM28),0))
-IF($L28="",0,IFERROR(SUMIFS(INDEX(rastreabilidade!$F:$H,0,MATCH(G$3,rastreabilidade!$F$1:$H$1,0)),rastreabilidade!$M:$M,$L28,rastreabilidade!$N:$N,$AM28),0))
-IF($M28="",0,IFERROR(SUMIFS(INDEX(rastreabilidade!$F:$H,0,MATCH(G$3,rastreabilidade!$F$1:$H$1,0)),rastreabilidade!$M:$M,$M28,rastreabilidade!$N:$N,$AM28),0))</f>
        <v>0</v>
      </c>
      <c r="H28" s="40"/>
      <c r="I28" s="155" t="str" cm="1">
        <f t="array" ref="I28">_xlfn.LET(
_xlpm.mem,H28,
_xlpm.retiradas,J28:M28,
_xlpm.adicoes,N28:Q28,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28" s="54"/>
      <c r="K28" s="54"/>
      <c r="L28" s="54"/>
      <c r="M28" s="54"/>
      <c r="N28" s="58"/>
      <c r="O28" s="58"/>
      <c r="P28" s="58"/>
      <c r="Q28" s="108"/>
      <c r="R28" s="4"/>
      <c r="S28" s="98" t="s">
        <v>66</v>
      </c>
      <c r="T28" s="12">
        <f>IFERROR(SUMIFS(INDEX(rastreabilidade!$F:$H,0,MATCH($T$2,rastreabilidade!$F$1:$H$1,0)),rastreabilidade!$K:$K,$S28,rastreabilidade!$D:$D,"Sim"),0)</f>
        <v>0</v>
      </c>
      <c r="U28" s="35"/>
      <c r="V28" s="4"/>
      <c r="W28" s="158">
        <f>IFERROR(SUMIFS(INDEX(rastreabilidade!$F:$H,0,MATCH(W$3,rastreabilidade!$F$1:$H$1,0)),rastreabilidade!$N:$N,$AN28),0)*IF($AB28="sim",-1,1)
+IF($AG28="",0,IFERROR(SUMIFS(INDEX(rastreabilidade!$F:$H,0,MATCH(W$3,rastreabilidade!$F$1:$H$1,0)),rastreabilidade!$M:$M,$AG28),0))
+IF($AH28="",0,IFERROR(SUMIFS(INDEX(rastreabilidade!$F:$H,0,MATCH(W$3,rastreabilidade!$F$1:$H$1,0)),rastreabilidade!$M:$M,$AH28),0))
+IF($AI28="",0,IFERROR(SUMIFS(INDEX(rastreabilidade!$F:$H,0,MATCH(W$3,rastreabilidade!$F$1:$H$1,0)),rastreabilidade!$M:$M,$AI28),0))
+IF($AJ28="",0,IFERROR(SUMIFS(INDEX(rastreabilidade!$F:$H,0,MATCH(W$3,rastreabilidade!$F$1:$H$1,0)),rastreabilidade!$M:$M,$AJ28),0))
-IF($AC28="",0,IFERROR(SUMIFS(INDEX(rastreabilidade!$F:$H,0,MATCH(W$3,rastreabilidade!$F$1:$H$1,0)),rastreabilidade!$M:$M,$AC28,rastreabilidade!$N:$N,$AN28),0))
-IF($AD28="",0,IFERROR(SUMIFS(INDEX(rastreabilidade!$F:$H,0,MATCH(W$3,rastreabilidade!$F$1:$H$1,0)),rastreabilidade!$M:$M,$AD28,rastreabilidade!$N:$N,$AN28),0))
-IF($AE28="",0,IFERROR(SUMIFS(INDEX(rastreabilidade!$F:$H,0,MATCH(W$3,rastreabilidade!$F$1:$H$1,0)),rastreabilidade!$M:$M,$AE28,rastreabilidade!$N:$N,$AN28),0))
-IF($AF28="",0,IFERROR(SUMIFS(INDEX(rastreabilidade!$F:$H,0,MATCH(W$3,rastreabilidade!$F$1:$H$1,0)),rastreabilidade!$M:$M,$AF28,rastreabilidade!$N:$N,$AN28),0))</f>
        <v>0</v>
      </c>
      <c r="X28" s="158">
        <f>IFERROR(SUMIFS(INDEX(rastreabilidade!$F:$H,0,MATCH(X$3,rastreabilidade!$F$1:$H$1,0)),rastreabilidade!$N:$N,$AN28),0)*IF($AB28="sim",-1,1)
+IF($AG28="",0,IFERROR(SUMIFS(INDEX(rastreabilidade!$F:$H,0,MATCH(X$3,rastreabilidade!$F$1:$H$1,0)),rastreabilidade!$M:$M,$AG28),0))
+IF($AH28="",0,IFERROR(SUMIFS(INDEX(rastreabilidade!$F:$H,0,MATCH(X$3,rastreabilidade!$F$1:$H$1,0)),rastreabilidade!$M:$M,$AH28),0))
+IF($AI28="",0,IFERROR(SUMIFS(INDEX(rastreabilidade!$F:$H,0,MATCH(X$3,rastreabilidade!$F$1:$H$1,0)),rastreabilidade!$M:$M,$AI28),0))
+IF($AJ28="",0,IFERROR(SUMIFS(INDEX(rastreabilidade!$F:$H,0,MATCH(X$3,rastreabilidade!$F$1:$H$1,0)),rastreabilidade!$M:$M,$AJ28),0))
-IF($AC28="",0,IFERROR(SUMIFS(INDEX(rastreabilidade!$F:$H,0,MATCH(X$3,rastreabilidade!$F$1:$H$1,0)),rastreabilidade!$M:$M,$AC28,rastreabilidade!$N:$N,$AN28),0))
-IF($AD28="",0,IFERROR(SUMIFS(INDEX(rastreabilidade!$F:$H,0,MATCH(X$3,rastreabilidade!$F$1:$H$1,0)),rastreabilidade!$M:$M,$AD28,rastreabilidade!$N:$N,$AN28),0))
-IF($AE28="",0,IFERROR(SUMIFS(INDEX(rastreabilidade!$F:$H,0,MATCH(X$3,rastreabilidade!$F$1:$H$1,0)),rastreabilidade!$M:$M,$AE28,rastreabilidade!$N:$N,$AN28),0))
-IF($AF28="",0,IFERROR(SUMIFS(INDEX(rastreabilidade!$F:$H,0,MATCH(X$3,rastreabilidade!$F$1:$H$1,0)),rastreabilidade!$M:$M,$AF28,rastreabilidade!$N:$N,$AN28),0))</f>
        <v>0</v>
      </c>
      <c r="Y28" s="158">
        <f>IFERROR(SUMIFS(INDEX(rastreabilidade!$F:$H,0,MATCH(Y$3,rastreabilidade!$F$1:$H$1,0)),rastreabilidade!$N:$N,$AN28),0)*IF($AB28="sim",-1,1)
+IF($AG28="",0,IFERROR(SUMIFS(INDEX(rastreabilidade!$F:$H,0,MATCH(Y$3,rastreabilidade!$F$1:$H$1,0)),rastreabilidade!$M:$M,$AG28),0))
+IF($AH28="",0,IFERROR(SUMIFS(INDEX(rastreabilidade!$F:$H,0,MATCH(Y$3,rastreabilidade!$F$1:$H$1,0)),rastreabilidade!$M:$M,$AH28),0))
+IF($AI28="",0,IFERROR(SUMIFS(INDEX(rastreabilidade!$F:$H,0,MATCH(Y$3,rastreabilidade!$F$1:$H$1,0)),rastreabilidade!$M:$M,$AI28),0))
+IF($AJ28="",0,IFERROR(SUMIFS(INDEX(rastreabilidade!$F:$H,0,MATCH(Y$3,rastreabilidade!$F$1:$H$1,0)),rastreabilidade!$M:$M,$AJ28),0))
-IF($AC28="",0,IFERROR(SUMIFS(INDEX(rastreabilidade!$F:$H,0,MATCH(Y$3,rastreabilidade!$F$1:$H$1,0)),rastreabilidade!$M:$M,$AC28,rastreabilidade!$N:$N,$AN28),0))
-IF($AD28="",0,IFERROR(SUMIFS(INDEX(rastreabilidade!$F:$H,0,MATCH(Y$3,rastreabilidade!$F$1:$H$1,0)),rastreabilidade!$M:$M,$AD28,rastreabilidade!$N:$N,$AN28),0))
-IF($AE28="",0,IFERROR(SUMIFS(INDEX(rastreabilidade!$F:$H,0,MATCH(Y$3,rastreabilidade!$F$1:$H$1,0)),rastreabilidade!$M:$M,$AE28,rastreabilidade!$N:$N,$AN28),0))
-IF($AF28="",0,IFERROR(SUMIFS(INDEX(rastreabilidade!$F:$H,0,MATCH(Y$3,rastreabilidade!$F$1:$H$1,0)),rastreabilidade!$M:$M,$AF28,rastreabilidade!$N:$N,$AN28),0))</f>
        <v>0</v>
      </c>
      <c r="Z28" s="36"/>
      <c r="AA28" s="177" t="str" cm="1">
        <f t="array" ref="AA28">_xlfn.LET(
_xlpm.mem,Z28,
_xlpm.retiradas,AC28:AF28,
_xlpm.adicoes,AG28:AJ28,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28" s="114"/>
      <c r="AC28" s="54"/>
      <c r="AD28" s="54"/>
      <c r="AE28" s="54"/>
      <c r="AF28" s="54"/>
      <c r="AG28" s="58"/>
      <c r="AH28" s="58"/>
      <c r="AI28" s="58"/>
      <c r="AJ28" s="108"/>
      <c r="AL28" s="5"/>
      <c r="AM28" s="5" t="str">
        <f t="shared" si="2"/>
        <v>Outros Operacionais (ANC)|Ativo|Não Circulante</v>
      </c>
      <c r="AN28" s="5" t="str">
        <f t="shared" si="1"/>
        <v>+/- Créditos Tributários|DRE|DRE</v>
      </c>
      <c r="AO28" s="5"/>
      <c r="AP28" s="5"/>
      <c r="AQ28" s="6"/>
      <c r="AR28" s="7"/>
      <c r="AS28" s="7"/>
      <c r="AT28" s="7"/>
    </row>
    <row r="29" spans="1:46" ht="35.1" customHeight="1" x14ac:dyDescent="0.25">
      <c r="A29" s="117" t="s">
        <v>67</v>
      </c>
      <c r="B29" s="121">
        <f>IFERROR(SUMIFS(INDEX(rastreabilidade!$F:$H,0,MATCH($B$2,rastreabilidade!$F$1:$H$1,0)),rastreabilidade!$K:$K,$A29,rastreabilidade!$D:$D,"Sim"),0)</f>
        <v>0</v>
      </c>
      <c r="C29" s="35"/>
      <c r="D29" s="4"/>
      <c r="E29" s="121">
        <f>IFERROR(SUMIFS(INDEX(rastreabilidade!$F:$H,0,MATCH(E$3,rastreabilidade!$F$1:$H$1,0)),rastreabilidade!$N:$N,$AM29),0)
+IF($N29="",0,IFERROR(SUMIFS(INDEX(rastreabilidade!$F:$H,0,MATCH(E$3,rastreabilidade!$F$1:$H$1,0)),rastreabilidade!$M:$M,$N29),0))
+IF($O29="",0,IFERROR(SUMIFS(INDEX(rastreabilidade!$F:$H,0,MATCH(E$3,rastreabilidade!$F$1:$H$1,0)),rastreabilidade!$M:$M,$O29),0))
+IF($P29="",0,IFERROR(SUMIFS(INDEX(rastreabilidade!$F:$H,0,MATCH(E$3,rastreabilidade!$F$1:$H$1,0)),rastreabilidade!$M:$M,$P29),0))
+IF($Q29="",0,IFERROR(SUMIFS(INDEX(rastreabilidade!$F:$H,0,MATCH(E$3,rastreabilidade!$F$1:$H$1,0)),rastreabilidade!$M:$M,$Q29),0))
-IF($J29="",0,IFERROR(SUMIFS(INDEX(rastreabilidade!$F:$H,0,MATCH(E$3,rastreabilidade!$F$1:$H$1,0)),rastreabilidade!$M:$M,$J29,rastreabilidade!$N:$N,$AM29),0))
-IF($K29="",0,IFERROR(SUMIFS(INDEX(rastreabilidade!$F:$H,0,MATCH(E$3,rastreabilidade!$F$1:$H$1,0)),rastreabilidade!$M:$M,$K29,rastreabilidade!$N:$N,$AM29),0))
-IF($L29="",0,IFERROR(SUMIFS(INDEX(rastreabilidade!$F:$H,0,MATCH(E$3,rastreabilidade!$F$1:$H$1,0)),rastreabilidade!$M:$M,$L29,rastreabilidade!$N:$N,$AM29),0))
-IF($M29="",0,IFERROR(SUMIFS(INDEX(rastreabilidade!$F:$H,0,MATCH(E$3,rastreabilidade!$F$1:$H$1,0)),rastreabilidade!$M:$M,$M29,rastreabilidade!$N:$N,$AM29),0))</f>
        <v>0</v>
      </c>
      <c r="F29" s="121">
        <f>IFERROR(SUMIFS(INDEX(rastreabilidade!$F:$H,0,MATCH(F$3,rastreabilidade!$F$1:$H$1,0)),rastreabilidade!$N:$N,$AM29),0)
+IF($N29="",0,IFERROR(SUMIFS(INDEX(rastreabilidade!$F:$H,0,MATCH(F$3,rastreabilidade!$F$1:$H$1,0)),rastreabilidade!$M:$M,$N29),0))
+IF($O29="",0,IFERROR(SUMIFS(INDEX(rastreabilidade!$F:$H,0,MATCH(F$3,rastreabilidade!$F$1:$H$1,0)),rastreabilidade!$M:$M,$O29),0))
+IF($P29="",0,IFERROR(SUMIFS(INDEX(rastreabilidade!$F:$H,0,MATCH(F$3,rastreabilidade!$F$1:$H$1,0)),rastreabilidade!$M:$M,$P29),0))
+IF($Q29="",0,IFERROR(SUMIFS(INDEX(rastreabilidade!$F:$H,0,MATCH(F$3,rastreabilidade!$F$1:$H$1,0)),rastreabilidade!$M:$M,$Q29),0))
-IF($J29="",0,IFERROR(SUMIFS(INDEX(rastreabilidade!$F:$H,0,MATCH(F$3,rastreabilidade!$F$1:$H$1,0)),rastreabilidade!$M:$M,$J29,rastreabilidade!$N:$N,$AM29),0))
-IF($K29="",0,IFERROR(SUMIFS(INDEX(rastreabilidade!$F:$H,0,MATCH(F$3,rastreabilidade!$F$1:$H$1,0)),rastreabilidade!$M:$M,$K29,rastreabilidade!$N:$N,$AM29),0))
-IF($L29="",0,IFERROR(SUMIFS(INDEX(rastreabilidade!$F:$H,0,MATCH(F$3,rastreabilidade!$F$1:$H$1,0)),rastreabilidade!$M:$M,$L29,rastreabilidade!$N:$N,$AM29),0))
-IF($M29="",0,IFERROR(SUMIFS(INDEX(rastreabilidade!$F:$H,0,MATCH(F$3,rastreabilidade!$F$1:$H$1,0)),rastreabilidade!$M:$M,$M29,rastreabilidade!$N:$N,$AM29),0))</f>
        <v>0</v>
      </c>
      <c r="G29" s="122">
        <f>IFERROR(SUMIFS(INDEX(rastreabilidade!$F:$H,0,MATCH(G$3,rastreabilidade!$F$1:$H$1,0)),rastreabilidade!$N:$N,$AM29),0)
+IF($N29="",0,IFERROR(SUMIFS(INDEX(rastreabilidade!$F:$H,0,MATCH(G$3,rastreabilidade!$F$1:$H$1,0)),rastreabilidade!$M:$M,$N29),0))
+IF($O29="",0,IFERROR(SUMIFS(INDEX(rastreabilidade!$F:$H,0,MATCH(G$3,rastreabilidade!$F$1:$H$1,0)),rastreabilidade!$M:$M,$O29),0))
+IF($P29="",0,IFERROR(SUMIFS(INDEX(rastreabilidade!$F:$H,0,MATCH(G$3,rastreabilidade!$F$1:$H$1,0)),rastreabilidade!$M:$M,$P29),0))
+IF($Q29="",0,IFERROR(SUMIFS(INDEX(rastreabilidade!$F:$H,0,MATCH(G$3,rastreabilidade!$F$1:$H$1,0)),rastreabilidade!$M:$M,$Q29),0))
-IF($J29="",0,IFERROR(SUMIFS(INDEX(rastreabilidade!$F:$H,0,MATCH(G$3,rastreabilidade!$F$1:$H$1,0)),rastreabilidade!$M:$M,$J29,rastreabilidade!$N:$N,$AM29),0))
-IF($K29="",0,IFERROR(SUMIFS(INDEX(rastreabilidade!$F:$H,0,MATCH(G$3,rastreabilidade!$F$1:$H$1,0)),rastreabilidade!$M:$M,$K29,rastreabilidade!$N:$N,$AM29),0))
-IF($L29="",0,IFERROR(SUMIFS(INDEX(rastreabilidade!$F:$H,0,MATCH(G$3,rastreabilidade!$F$1:$H$1,0)),rastreabilidade!$M:$M,$L29,rastreabilidade!$N:$N,$AM29),0))
-IF($M29="",0,IFERROR(SUMIFS(INDEX(rastreabilidade!$F:$H,0,MATCH(G$3,rastreabilidade!$F$1:$H$1,0)),rastreabilidade!$M:$M,$M29,rastreabilidade!$N:$N,$AM29),0))</f>
        <v>0</v>
      </c>
      <c r="H29" s="40"/>
      <c r="I29" s="155" t="str" cm="1">
        <f t="array" ref="I29">_xlfn.LET(
_xlpm.mem,H29,
_xlpm.retiradas,J29:M29,
_xlpm.adicoes,N29:Q29,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29" s="54"/>
      <c r="K29" s="54"/>
      <c r="L29" s="54"/>
      <c r="M29" s="54"/>
      <c r="N29" s="58"/>
      <c r="O29" s="58"/>
      <c r="P29" s="58"/>
      <c r="Q29" s="108"/>
      <c r="R29" s="4"/>
      <c r="S29" s="99" t="s">
        <v>68</v>
      </c>
      <c r="T29" s="15">
        <f>IFERROR(SUMIFS(INDEX(rastreabilidade!$F:$H,0,MATCH($T$2,rastreabilidade!$F$1:$H$1,0)),rastreabilidade!$K:$K,$S29,rastreabilidade!$D:$D,"Sim"),0)</f>
        <v>0</v>
      </c>
      <c r="U29" s="35"/>
      <c r="V29" s="4"/>
      <c r="W29" s="141">
        <f>IFERROR(SUMIFS(INDEX(rastreabilidade!$F:$H,0,MATCH(W$3,rastreabilidade!$F$1:$H$1,0)),rastreabilidade!$N:$N,$AN29),0)*IF($AB29="sim",-1,1)
+IF($AG29="",0,IFERROR(SUMIFS(INDEX(rastreabilidade!$F:$H,0,MATCH(W$3,rastreabilidade!$F$1:$H$1,0)),rastreabilidade!$M:$M,$AG29),0))
+IF($AH29="",0,IFERROR(SUMIFS(INDEX(rastreabilidade!$F:$H,0,MATCH(W$3,rastreabilidade!$F$1:$H$1,0)),rastreabilidade!$M:$M,$AH29),0))
+IF($AI29="",0,IFERROR(SUMIFS(INDEX(rastreabilidade!$F:$H,0,MATCH(W$3,rastreabilidade!$F$1:$H$1,0)),rastreabilidade!$M:$M,$AI29),0))
+IF($AJ29="",0,IFERROR(SUMIFS(INDEX(rastreabilidade!$F:$H,0,MATCH(W$3,rastreabilidade!$F$1:$H$1,0)),rastreabilidade!$M:$M,$AJ29),0))
-IF($AC29="",0,IFERROR(SUMIFS(INDEX(rastreabilidade!$F:$H,0,MATCH(W$3,rastreabilidade!$F$1:$H$1,0)),rastreabilidade!$M:$M,$AC29,rastreabilidade!$N:$N,$AN29),0))
-IF($AD29="",0,IFERROR(SUMIFS(INDEX(rastreabilidade!$F:$H,0,MATCH(W$3,rastreabilidade!$F$1:$H$1,0)),rastreabilidade!$M:$M,$AD29,rastreabilidade!$N:$N,$AN29),0))
-IF($AE29="",0,IFERROR(SUMIFS(INDEX(rastreabilidade!$F:$H,0,MATCH(W$3,rastreabilidade!$F$1:$H$1,0)),rastreabilidade!$M:$M,$AE29,rastreabilidade!$N:$N,$AN29),0))
-IF($AF29="",0,IFERROR(SUMIFS(INDEX(rastreabilidade!$F:$H,0,MATCH(W$3,rastreabilidade!$F$1:$H$1,0)),rastreabilidade!$M:$M,$AF29,rastreabilidade!$N:$N,$AN29),0))</f>
        <v>0</v>
      </c>
      <c r="X29" s="141">
        <f>IFERROR(SUMIFS(INDEX(rastreabilidade!$F:$H,0,MATCH(X$3,rastreabilidade!$F$1:$H$1,0)),rastreabilidade!$N:$N,$AN29),0)*IF($AB29="sim",-1,1)
+IF($AG29="",0,IFERROR(SUMIFS(INDEX(rastreabilidade!$F:$H,0,MATCH(X$3,rastreabilidade!$F$1:$H$1,0)),rastreabilidade!$M:$M,$AG29),0))
+IF($AH29="",0,IFERROR(SUMIFS(INDEX(rastreabilidade!$F:$H,0,MATCH(X$3,rastreabilidade!$F$1:$H$1,0)),rastreabilidade!$M:$M,$AH29),0))
+IF($AI29="",0,IFERROR(SUMIFS(INDEX(rastreabilidade!$F:$H,0,MATCH(X$3,rastreabilidade!$F$1:$H$1,0)),rastreabilidade!$M:$M,$AI29),0))
+IF($AJ29="",0,IFERROR(SUMIFS(INDEX(rastreabilidade!$F:$H,0,MATCH(X$3,rastreabilidade!$F$1:$H$1,0)),rastreabilidade!$M:$M,$AJ29),0))
-IF($AC29="",0,IFERROR(SUMIFS(INDEX(rastreabilidade!$F:$H,0,MATCH(X$3,rastreabilidade!$F$1:$H$1,0)),rastreabilidade!$M:$M,$AC29,rastreabilidade!$N:$N,$AN29),0))
-IF($AD29="",0,IFERROR(SUMIFS(INDEX(rastreabilidade!$F:$H,0,MATCH(X$3,rastreabilidade!$F$1:$H$1,0)),rastreabilidade!$M:$M,$AD29,rastreabilidade!$N:$N,$AN29),0))
-IF($AE29="",0,IFERROR(SUMIFS(INDEX(rastreabilidade!$F:$H,0,MATCH(X$3,rastreabilidade!$F$1:$H$1,0)),rastreabilidade!$M:$M,$AE29,rastreabilidade!$N:$N,$AN29),0))
-IF($AF29="",0,IFERROR(SUMIFS(INDEX(rastreabilidade!$F:$H,0,MATCH(X$3,rastreabilidade!$F$1:$H$1,0)),rastreabilidade!$M:$M,$AF29,rastreabilidade!$N:$N,$AN29),0))</f>
        <v>0</v>
      </c>
      <c r="Y29" s="141">
        <f>IFERROR(SUMIFS(INDEX(rastreabilidade!$F:$H,0,MATCH(Y$3,rastreabilidade!$F$1:$H$1,0)),rastreabilidade!$N:$N,$AN29),0)*IF($AB29="sim",-1,1)
+IF($AG29="",0,IFERROR(SUMIFS(INDEX(rastreabilidade!$F:$H,0,MATCH(Y$3,rastreabilidade!$F$1:$H$1,0)),rastreabilidade!$M:$M,$AG29),0))
+IF($AH29="",0,IFERROR(SUMIFS(INDEX(rastreabilidade!$F:$H,0,MATCH(Y$3,rastreabilidade!$F$1:$H$1,0)),rastreabilidade!$M:$M,$AH29),0))
+IF($AI29="",0,IFERROR(SUMIFS(INDEX(rastreabilidade!$F:$H,0,MATCH(Y$3,rastreabilidade!$F$1:$H$1,0)),rastreabilidade!$M:$M,$AI29),0))
+IF($AJ29="",0,IFERROR(SUMIFS(INDEX(rastreabilidade!$F:$H,0,MATCH(Y$3,rastreabilidade!$F$1:$H$1,0)),rastreabilidade!$M:$M,$AJ29),0))
-IF($AC29="",0,IFERROR(SUMIFS(INDEX(rastreabilidade!$F:$H,0,MATCH(Y$3,rastreabilidade!$F$1:$H$1,0)),rastreabilidade!$M:$M,$AC29,rastreabilidade!$N:$N,$AN29),0))
-IF($AD29="",0,IFERROR(SUMIFS(INDEX(rastreabilidade!$F:$H,0,MATCH(Y$3,rastreabilidade!$F$1:$H$1,0)),rastreabilidade!$M:$M,$AD29,rastreabilidade!$N:$N,$AN29),0))
-IF($AE29="",0,IFERROR(SUMIFS(INDEX(rastreabilidade!$F:$H,0,MATCH(Y$3,rastreabilidade!$F$1:$H$1,0)),rastreabilidade!$M:$M,$AE29,rastreabilidade!$N:$N,$AN29),0))
-IF($AF29="",0,IFERROR(SUMIFS(INDEX(rastreabilidade!$F:$H,0,MATCH(Y$3,rastreabilidade!$F$1:$H$1,0)),rastreabilidade!$M:$M,$AF29,rastreabilidade!$N:$N,$AN29),0))</f>
        <v>0</v>
      </c>
      <c r="Z29" s="36"/>
      <c r="AA29" s="177" t="str" cm="1">
        <f t="array" ref="AA29">_xlfn.LET(
_xlpm.mem,Z29,
_xlpm.retiradas,AC29:AF29,
_xlpm.adicoes,AG29:AJ29,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29" s="114"/>
      <c r="AC29" s="54"/>
      <c r="AD29" s="54"/>
      <c r="AE29" s="54"/>
      <c r="AF29" s="54"/>
      <c r="AG29" s="58"/>
      <c r="AH29" s="58"/>
      <c r="AI29" s="58"/>
      <c r="AJ29" s="108"/>
      <c r="AL29" s="5"/>
      <c r="AM29" s="5" t="str">
        <f t="shared" si="2"/>
        <v>Outros Não Operacionais LP (ANC)|Ativo|Não Circulante</v>
      </c>
      <c r="AN29" s="5" t="str">
        <f t="shared" si="1"/>
        <v>+/- Resultado de alienação do Imobilizado|DRE|DRE</v>
      </c>
      <c r="AO29" s="5"/>
      <c r="AP29" s="5"/>
      <c r="AQ29" s="6"/>
      <c r="AR29" s="7"/>
      <c r="AS29" s="7"/>
      <c r="AT29" s="7"/>
    </row>
    <row r="30" spans="1:46" ht="35.1" customHeight="1" x14ac:dyDescent="0.25">
      <c r="A30" s="82" t="s">
        <v>69</v>
      </c>
      <c r="B30" s="129">
        <f>SUM(B23:B29)</f>
        <v>0</v>
      </c>
      <c r="C30" s="39"/>
      <c r="D30" s="4"/>
      <c r="E30" s="129">
        <f>SUM(E23:E29)</f>
        <v>0</v>
      </c>
      <c r="F30" s="129">
        <f>SUM(F23:F29)</f>
        <v>0</v>
      </c>
      <c r="G30" s="130">
        <f>SUM(G23:G29)</f>
        <v>0</v>
      </c>
      <c r="H30" s="39"/>
      <c r="I30" s="39"/>
      <c r="J30" s="38">
        <f>SUM(J23:J29)</f>
        <v>0</v>
      </c>
      <c r="K30" s="38"/>
      <c r="L30" s="38"/>
      <c r="M30" s="38"/>
      <c r="N30" s="38"/>
      <c r="O30" s="38"/>
      <c r="P30" s="38"/>
      <c r="Q30" s="38">
        <f>SUM(Q23:Q29)</f>
        <v>0</v>
      </c>
      <c r="R30" s="4"/>
      <c r="S30" s="89" t="s">
        <v>70</v>
      </c>
      <c r="T30" s="15">
        <f>IFERROR(SUMIFS(INDEX(rastreabilidade!$F:$H,0,MATCH($T$2,rastreabilidade!$F$1:$H$1,0)),rastreabilidade!$K:$K,$S30,rastreabilidade!$D:$D,"Sim"),0)</f>
        <v>0</v>
      </c>
      <c r="U30" s="35"/>
      <c r="V30" s="4"/>
      <c r="W30" s="141">
        <f>IFERROR(SUMIFS(INDEX(rastreabilidade!$F:$H,0,MATCH(W$3,rastreabilidade!$F$1:$H$1,0)),rastreabilidade!$N:$N,$AN30),0)*IF($AB30="sim",-1,1)
+IF($AG30="",0,IFERROR(SUMIFS(INDEX(rastreabilidade!$F:$H,0,MATCH(W$3,rastreabilidade!$F$1:$H$1,0)),rastreabilidade!$M:$M,$AG30),0))
+IF($AH30="",0,IFERROR(SUMIFS(INDEX(rastreabilidade!$F:$H,0,MATCH(W$3,rastreabilidade!$F$1:$H$1,0)),rastreabilidade!$M:$M,$AH30),0))
+IF($AI30="",0,IFERROR(SUMIFS(INDEX(rastreabilidade!$F:$H,0,MATCH(W$3,rastreabilidade!$F$1:$H$1,0)),rastreabilidade!$M:$M,$AI30),0))
+IF($AJ30="",0,IFERROR(SUMIFS(INDEX(rastreabilidade!$F:$H,0,MATCH(W$3,rastreabilidade!$F$1:$H$1,0)),rastreabilidade!$M:$M,$AJ30),0))
-IF($AC30="",0,IFERROR(SUMIFS(INDEX(rastreabilidade!$F:$H,0,MATCH(W$3,rastreabilidade!$F$1:$H$1,0)),rastreabilidade!$M:$M,$AC30,rastreabilidade!$N:$N,$AN30),0))
-IF($AD30="",0,IFERROR(SUMIFS(INDEX(rastreabilidade!$F:$H,0,MATCH(W$3,rastreabilidade!$F$1:$H$1,0)),rastreabilidade!$M:$M,$AD30,rastreabilidade!$N:$N,$AN30),0))
-IF($AE30="",0,IFERROR(SUMIFS(INDEX(rastreabilidade!$F:$H,0,MATCH(W$3,rastreabilidade!$F$1:$H$1,0)),rastreabilidade!$M:$M,$AE30,rastreabilidade!$N:$N,$AN30),0))
-IF($AF30="",0,IFERROR(SUMIFS(INDEX(rastreabilidade!$F:$H,0,MATCH(W$3,rastreabilidade!$F$1:$H$1,0)),rastreabilidade!$M:$M,$AF30,rastreabilidade!$N:$N,$AN30),0))</f>
        <v>0</v>
      </c>
      <c r="X30" s="141">
        <f>IFERROR(SUMIFS(INDEX(rastreabilidade!$F:$H,0,MATCH(X$3,rastreabilidade!$F$1:$H$1,0)),rastreabilidade!$N:$N,$AN30),0)*IF($AB30="sim",-1,1)
+IF($AG30="",0,IFERROR(SUMIFS(INDEX(rastreabilidade!$F:$H,0,MATCH(X$3,rastreabilidade!$F$1:$H$1,0)),rastreabilidade!$M:$M,$AG30),0))
+IF($AH30="",0,IFERROR(SUMIFS(INDEX(rastreabilidade!$F:$H,0,MATCH(X$3,rastreabilidade!$F$1:$H$1,0)),rastreabilidade!$M:$M,$AH30),0))
+IF($AI30="",0,IFERROR(SUMIFS(INDEX(rastreabilidade!$F:$H,0,MATCH(X$3,rastreabilidade!$F$1:$H$1,0)),rastreabilidade!$M:$M,$AI30),0))
+IF($AJ30="",0,IFERROR(SUMIFS(INDEX(rastreabilidade!$F:$H,0,MATCH(X$3,rastreabilidade!$F$1:$H$1,0)),rastreabilidade!$M:$M,$AJ30),0))
-IF($AC30="",0,IFERROR(SUMIFS(INDEX(rastreabilidade!$F:$H,0,MATCH(X$3,rastreabilidade!$F$1:$H$1,0)),rastreabilidade!$M:$M,$AC30,rastreabilidade!$N:$N,$AN30),0))
-IF($AD30="",0,IFERROR(SUMIFS(INDEX(rastreabilidade!$F:$H,0,MATCH(X$3,rastreabilidade!$F$1:$H$1,0)),rastreabilidade!$M:$M,$AD30,rastreabilidade!$N:$N,$AN30),0))
-IF($AE30="",0,IFERROR(SUMIFS(INDEX(rastreabilidade!$F:$H,0,MATCH(X$3,rastreabilidade!$F$1:$H$1,0)),rastreabilidade!$M:$M,$AE30,rastreabilidade!$N:$N,$AN30),0))
-IF($AF30="",0,IFERROR(SUMIFS(INDEX(rastreabilidade!$F:$H,0,MATCH(X$3,rastreabilidade!$F$1:$H$1,0)),rastreabilidade!$M:$M,$AF30,rastreabilidade!$N:$N,$AN30),0))</f>
        <v>0</v>
      </c>
      <c r="Y30" s="141">
        <f>IFERROR(SUMIFS(INDEX(rastreabilidade!$F:$H,0,MATCH(Y$3,rastreabilidade!$F$1:$H$1,0)),rastreabilidade!$N:$N,$AN30),0)*IF($AB30="sim",-1,1)
+IF($AG30="",0,IFERROR(SUMIFS(INDEX(rastreabilidade!$F:$H,0,MATCH(Y$3,rastreabilidade!$F$1:$H$1,0)),rastreabilidade!$M:$M,$AG30),0))
+IF($AH30="",0,IFERROR(SUMIFS(INDEX(rastreabilidade!$F:$H,0,MATCH(Y$3,rastreabilidade!$F$1:$H$1,0)),rastreabilidade!$M:$M,$AH30),0))
+IF($AI30="",0,IFERROR(SUMIFS(INDEX(rastreabilidade!$F:$H,0,MATCH(Y$3,rastreabilidade!$F$1:$H$1,0)),rastreabilidade!$M:$M,$AI30),0))
+IF($AJ30="",0,IFERROR(SUMIFS(INDEX(rastreabilidade!$F:$H,0,MATCH(Y$3,rastreabilidade!$F$1:$H$1,0)),rastreabilidade!$M:$M,$AJ30),0))
-IF($AC30="",0,IFERROR(SUMIFS(INDEX(rastreabilidade!$F:$H,0,MATCH(Y$3,rastreabilidade!$F$1:$H$1,0)),rastreabilidade!$M:$M,$AC30,rastreabilidade!$N:$N,$AN30),0))
-IF($AD30="",0,IFERROR(SUMIFS(INDEX(rastreabilidade!$F:$H,0,MATCH(Y$3,rastreabilidade!$F$1:$H$1,0)),rastreabilidade!$M:$M,$AD30,rastreabilidade!$N:$N,$AN30),0))
-IF($AE30="",0,IFERROR(SUMIFS(INDEX(rastreabilidade!$F:$H,0,MATCH(Y$3,rastreabilidade!$F$1:$H$1,0)),rastreabilidade!$M:$M,$AE30,rastreabilidade!$N:$N,$AN30),0))
-IF($AF30="",0,IFERROR(SUMIFS(INDEX(rastreabilidade!$F:$H,0,MATCH(Y$3,rastreabilidade!$F$1:$H$1,0)),rastreabilidade!$M:$M,$AF30,rastreabilidade!$N:$N,$AN30),0))</f>
        <v>0</v>
      </c>
      <c r="Z30" s="36"/>
      <c r="AA30" s="177" t="str" cm="1">
        <f t="array" ref="AA30">_xlfn.LET(
_xlpm.mem,Z30,
_xlpm.retiradas,AC30:AF30,
_xlpm.adicoes,AG30:AJ30,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30" s="114"/>
      <c r="AC30" s="54"/>
      <c r="AD30" s="54"/>
      <c r="AE30" s="54"/>
      <c r="AF30" s="54"/>
      <c r="AG30" s="58"/>
      <c r="AH30" s="58"/>
      <c r="AI30" s="58"/>
      <c r="AJ30" s="108"/>
      <c r="AL30" s="5"/>
      <c r="AM30" s="5" t="str">
        <f t="shared" si="2"/>
        <v>TOTAL ATIVO REALIZÁVEL LP|Ativo|Não Circulante</v>
      </c>
      <c r="AN30" s="5" t="str">
        <f t="shared" si="1"/>
        <v>- Juros de Arrendamento Operacional|DRE|DRE</v>
      </c>
      <c r="AO30" s="5"/>
      <c r="AP30" s="5"/>
      <c r="AQ30" s="6"/>
      <c r="AR30" s="7"/>
      <c r="AS30" s="7"/>
      <c r="AT30" s="7"/>
    </row>
    <row r="31" spans="1:46" ht="35.1" customHeight="1" x14ac:dyDescent="0.25">
      <c r="A31" s="83" t="s">
        <v>71</v>
      </c>
      <c r="B31" s="121">
        <f>IFERROR(SUMIFS(INDEX(rastreabilidade!$F:$H,0,MATCH($B$2,rastreabilidade!$F$1:$H$1,0)),rastreabilidade!$K:$K,$A31,rastreabilidade!$D:$D,"Sim"),0)</f>
        <v>0</v>
      </c>
      <c r="C31" s="35"/>
      <c r="D31" s="4"/>
      <c r="E31" s="121">
        <f>IFERROR(SUMIFS(INDEX(rastreabilidade!$F:$H,0,MATCH(E$3,rastreabilidade!$F$1:$H$1,0)),rastreabilidade!$N:$N,$AM31),0)
+IF($N31="",0,IFERROR(SUMIFS(INDEX(rastreabilidade!$F:$H,0,MATCH(E$3,rastreabilidade!$F$1:$H$1,0)),rastreabilidade!$M:$M,$N31),0))
+IF($O31="",0,IFERROR(SUMIFS(INDEX(rastreabilidade!$F:$H,0,MATCH(E$3,rastreabilidade!$F$1:$H$1,0)),rastreabilidade!$M:$M,$O31),0))
+IF($P31="",0,IFERROR(SUMIFS(INDEX(rastreabilidade!$F:$H,0,MATCH(E$3,rastreabilidade!$F$1:$H$1,0)),rastreabilidade!$M:$M,$P31),0))
+IF($Q31="",0,IFERROR(SUMIFS(INDEX(rastreabilidade!$F:$H,0,MATCH(E$3,rastreabilidade!$F$1:$H$1,0)),rastreabilidade!$M:$M,$Q31),0))
-IF($J31="",0,IFERROR(SUMIFS(INDEX(rastreabilidade!$F:$H,0,MATCH(E$3,rastreabilidade!$F$1:$H$1,0)),rastreabilidade!$M:$M,$J31,rastreabilidade!$N:$N,$AM31),0))
-IF($K31="",0,IFERROR(SUMIFS(INDEX(rastreabilidade!$F:$H,0,MATCH(E$3,rastreabilidade!$F$1:$H$1,0)),rastreabilidade!$M:$M,$K31,rastreabilidade!$N:$N,$AM31),0))
-IF($L31="",0,IFERROR(SUMIFS(INDEX(rastreabilidade!$F:$H,0,MATCH(E$3,rastreabilidade!$F$1:$H$1,0)),rastreabilidade!$M:$M,$L31,rastreabilidade!$N:$N,$AM31),0))
-IF($M31="",0,IFERROR(SUMIFS(INDEX(rastreabilidade!$F:$H,0,MATCH(E$3,rastreabilidade!$F$1:$H$1,0)),rastreabilidade!$M:$M,$M31,rastreabilidade!$N:$N,$AM31),0))</f>
        <v>0</v>
      </c>
      <c r="F31" s="121">
        <f>IFERROR(SUMIFS(INDEX(rastreabilidade!$F:$H,0,MATCH(F$3,rastreabilidade!$F$1:$H$1,0)),rastreabilidade!$N:$N,$AM31),0)
+IF($N31="",0,IFERROR(SUMIFS(INDEX(rastreabilidade!$F:$H,0,MATCH(F$3,rastreabilidade!$F$1:$H$1,0)),rastreabilidade!$M:$M,$N31),0))
+IF($O31="",0,IFERROR(SUMIFS(INDEX(rastreabilidade!$F:$H,0,MATCH(F$3,rastreabilidade!$F$1:$H$1,0)),rastreabilidade!$M:$M,$O31),0))
+IF($P31="",0,IFERROR(SUMIFS(INDEX(rastreabilidade!$F:$H,0,MATCH(F$3,rastreabilidade!$F$1:$H$1,0)),rastreabilidade!$M:$M,$P31),0))
+IF($Q31="",0,IFERROR(SUMIFS(INDEX(rastreabilidade!$F:$H,0,MATCH(F$3,rastreabilidade!$F$1:$H$1,0)),rastreabilidade!$M:$M,$Q31),0))
-IF($J31="",0,IFERROR(SUMIFS(INDEX(rastreabilidade!$F:$H,0,MATCH(F$3,rastreabilidade!$F$1:$H$1,0)),rastreabilidade!$M:$M,$J31,rastreabilidade!$N:$N,$AM31),0))
-IF($K31="",0,IFERROR(SUMIFS(INDEX(rastreabilidade!$F:$H,0,MATCH(F$3,rastreabilidade!$F$1:$H$1,0)),rastreabilidade!$M:$M,$K31,rastreabilidade!$N:$N,$AM31),0))
-IF($L31="",0,IFERROR(SUMIFS(INDEX(rastreabilidade!$F:$H,0,MATCH(F$3,rastreabilidade!$F$1:$H$1,0)),rastreabilidade!$M:$M,$L31,rastreabilidade!$N:$N,$AM31),0))
-IF($M31="",0,IFERROR(SUMIFS(INDEX(rastreabilidade!$F:$H,0,MATCH(F$3,rastreabilidade!$F$1:$H$1,0)),rastreabilidade!$M:$M,$M31,rastreabilidade!$N:$N,$AM31),0))</f>
        <v>0</v>
      </c>
      <c r="G31" s="122">
        <f>IFERROR(SUMIFS(INDEX(rastreabilidade!$F:$H,0,MATCH(G$3,rastreabilidade!$F$1:$H$1,0)),rastreabilidade!$N:$N,$AM31),0)
+IF($N31="",0,IFERROR(SUMIFS(INDEX(rastreabilidade!$F:$H,0,MATCH(G$3,rastreabilidade!$F$1:$H$1,0)),rastreabilidade!$M:$M,$N31),0))
+IF($O31="",0,IFERROR(SUMIFS(INDEX(rastreabilidade!$F:$H,0,MATCH(G$3,rastreabilidade!$F$1:$H$1,0)),rastreabilidade!$M:$M,$O31),0))
+IF($P31="",0,IFERROR(SUMIFS(INDEX(rastreabilidade!$F:$H,0,MATCH(G$3,rastreabilidade!$F$1:$H$1,0)),rastreabilidade!$M:$M,$P31),0))
+IF($Q31="",0,IFERROR(SUMIFS(INDEX(rastreabilidade!$F:$H,0,MATCH(G$3,rastreabilidade!$F$1:$H$1,0)),rastreabilidade!$M:$M,$Q31),0))
-IF($J31="",0,IFERROR(SUMIFS(INDEX(rastreabilidade!$F:$H,0,MATCH(G$3,rastreabilidade!$F$1:$H$1,0)),rastreabilidade!$M:$M,$J31,rastreabilidade!$N:$N,$AM31),0))
-IF($K31="",0,IFERROR(SUMIFS(INDEX(rastreabilidade!$F:$H,0,MATCH(G$3,rastreabilidade!$F$1:$H$1,0)),rastreabilidade!$M:$M,$K31,rastreabilidade!$N:$N,$AM31),0))
-IF($L31="",0,IFERROR(SUMIFS(INDEX(rastreabilidade!$F:$H,0,MATCH(G$3,rastreabilidade!$F$1:$H$1,0)),rastreabilidade!$M:$M,$L31,rastreabilidade!$N:$N,$AM31),0))
-IF($M31="",0,IFERROR(SUMIFS(INDEX(rastreabilidade!$F:$H,0,MATCH(G$3,rastreabilidade!$F$1:$H$1,0)),rastreabilidade!$M:$M,$M31,rastreabilidade!$N:$N,$AM31),0))</f>
        <v>0</v>
      </c>
      <c r="H31" s="36"/>
      <c r="I31" s="155" t="str" cm="1">
        <f t="array" ref="I31">_xlfn.LET(
_xlpm.mem,H31,
_xlpm.retiradas,J31:M31,
_xlpm.adicoes,N31:Q31,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31" s="54"/>
      <c r="K31" s="54"/>
      <c r="L31" s="54"/>
      <c r="M31" s="54"/>
      <c r="N31" s="58"/>
      <c r="O31" s="58"/>
      <c r="P31" s="58"/>
      <c r="Q31" s="108"/>
      <c r="R31" s="4"/>
      <c r="S31" s="103" t="s">
        <v>72</v>
      </c>
      <c r="T31" s="18">
        <f>+T27+T28+T29-T30</f>
        <v>0</v>
      </c>
      <c r="U31" s="51"/>
      <c r="V31" s="4"/>
      <c r="W31" s="163">
        <f>+W27+W28+W29-W30</f>
        <v>0</v>
      </c>
      <c r="X31" s="163">
        <f>+X27+X28+X29-X30</f>
        <v>0</v>
      </c>
      <c r="Y31" s="163">
        <f>+Y27+Y28+Y29-Y30</f>
        <v>0</v>
      </c>
      <c r="Z31" s="47"/>
      <c r="AA31" s="51"/>
      <c r="AB31" s="115"/>
      <c r="AC31" s="51"/>
      <c r="AD31" s="51"/>
      <c r="AE31" s="51"/>
      <c r="AF31" s="51"/>
      <c r="AG31" s="51"/>
      <c r="AH31" s="51"/>
      <c r="AI31" s="51"/>
      <c r="AJ31" s="105"/>
      <c r="AL31" s="5"/>
      <c r="AM31" s="5" t="str">
        <f t="shared" si="2"/>
        <v>Direito de Uso|Ativo|Não Circulante</v>
      </c>
      <c r="AN31" s="5" t="str">
        <f t="shared" si="1"/>
        <v>+/- Resultado Extraordinário|DRE|DRE</v>
      </c>
      <c r="AO31" s="5"/>
      <c r="AP31" s="5"/>
      <c r="AQ31" s="6"/>
      <c r="AR31" s="7"/>
      <c r="AS31" s="7"/>
      <c r="AT31" s="7"/>
    </row>
    <row r="32" spans="1:46" ht="35.1" customHeight="1" x14ac:dyDescent="0.25">
      <c r="A32" s="83" t="s">
        <v>73</v>
      </c>
      <c r="B32" s="121">
        <f>IFERROR(SUMIFS(INDEX(rastreabilidade!$F:$H,0,MATCH($B$2,rastreabilidade!$F$1:$H$1,0)),rastreabilidade!$K:$K,$A32,rastreabilidade!$D:$D,"Sim"),0)</f>
        <v>0</v>
      </c>
      <c r="C32" s="35"/>
      <c r="D32" s="4"/>
      <c r="E32" s="121">
        <f>IFERROR(SUMIFS(INDEX(rastreabilidade!$F:$H,0,MATCH(E$3,rastreabilidade!$F$1:$H$1,0)),rastreabilidade!$N:$N,$AM32),0)
+IF($N32="",0,IFERROR(SUMIFS(INDEX(rastreabilidade!$F:$H,0,MATCH(E$3,rastreabilidade!$F$1:$H$1,0)),rastreabilidade!$M:$M,$N32),0))
+IF($O32="",0,IFERROR(SUMIFS(INDEX(rastreabilidade!$F:$H,0,MATCH(E$3,rastreabilidade!$F$1:$H$1,0)),rastreabilidade!$M:$M,$O32),0))
+IF($P32="",0,IFERROR(SUMIFS(INDEX(rastreabilidade!$F:$H,0,MATCH(E$3,rastreabilidade!$F$1:$H$1,0)),rastreabilidade!$M:$M,$P32),0))
+IF($Q32="",0,IFERROR(SUMIFS(INDEX(rastreabilidade!$F:$H,0,MATCH(E$3,rastreabilidade!$F$1:$H$1,0)),rastreabilidade!$M:$M,$Q32),0))
-IF($J32="",0,IFERROR(SUMIFS(INDEX(rastreabilidade!$F:$H,0,MATCH(E$3,rastreabilidade!$F$1:$H$1,0)),rastreabilidade!$M:$M,$J32,rastreabilidade!$N:$N,$AM32),0))
-IF($K32="",0,IFERROR(SUMIFS(INDEX(rastreabilidade!$F:$H,0,MATCH(E$3,rastreabilidade!$F$1:$H$1,0)),rastreabilidade!$M:$M,$K32,rastreabilidade!$N:$N,$AM32),0))
-IF($L32="",0,IFERROR(SUMIFS(INDEX(rastreabilidade!$F:$H,0,MATCH(E$3,rastreabilidade!$F$1:$H$1,0)),rastreabilidade!$M:$M,$L32,rastreabilidade!$N:$N,$AM32),0))
-IF($M32="",0,IFERROR(SUMIFS(INDEX(rastreabilidade!$F:$H,0,MATCH(E$3,rastreabilidade!$F$1:$H$1,0)),rastreabilidade!$M:$M,$M32,rastreabilidade!$N:$N,$AM32),0))</f>
        <v>0</v>
      </c>
      <c r="F32" s="121">
        <f>IFERROR(SUMIFS(INDEX(rastreabilidade!$F:$H,0,MATCH(F$3,rastreabilidade!$F$1:$H$1,0)),rastreabilidade!$N:$N,$AM32),0)
+IF($N32="",0,IFERROR(SUMIFS(INDEX(rastreabilidade!$F:$H,0,MATCH(F$3,rastreabilidade!$F$1:$H$1,0)),rastreabilidade!$M:$M,$N32),0))
+IF($O32="",0,IFERROR(SUMIFS(INDEX(rastreabilidade!$F:$H,0,MATCH(F$3,rastreabilidade!$F$1:$H$1,0)),rastreabilidade!$M:$M,$O32),0))
+IF($P32="",0,IFERROR(SUMIFS(INDEX(rastreabilidade!$F:$H,0,MATCH(F$3,rastreabilidade!$F$1:$H$1,0)),rastreabilidade!$M:$M,$P32),0))
+IF($Q32="",0,IFERROR(SUMIFS(INDEX(rastreabilidade!$F:$H,0,MATCH(F$3,rastreabilidade!$F$1:$H$1,0)),rastreabilidade!$M:$M,$Q32),0))
-IF($J32="",0,IFERROR(SUMIFS(INDEX(rastreabilidade!$F:$H,0,MATCH(F$3,rastreabilidade!$F$1:$H$1,0)),rastreabilidade!$M:$M,$J32,rastreabilidade!$N:$N,$AM32),0))
-IF($K32="",0,IFERROR(SUMIFS(INDEX(rastreabilidade!$F:$H,0,MATCH(F$3,rastreabilidade!$F$1:$H$1,0)),rastreabilidade!$M:$M,$K32,rastreabilidade!$N:$N,$AM32),0))
-IF($L32="",0,IFERROR(SUMIFS(INDEX(rastreabilidade!$F:$H,0,MATCH(F$3,rastreabilidade!$F$1:$H$1,0)),rastreabilidade!$M:$M,$L32,rastreabilidade!$N:$N,$AM32),0))
-IF($M32="",0,IFERROR(SUMIFS(INDEX(rastreabilidade!$F:$H,0,MATCH(F$3,rastreabilidade!$F$1:$H$1,0)),rastreabilidade!$M:$M,$M32,rastreabilidade!$N:$N,$AM32),0))</f>
        <v>0</v>
      </c>
      <c r="G32" s="122">
        <f>IFERROR(SUMIFS(INDEX(rastreabilidade!$F:$H,0,MATCH(G$3,rastreabilidade!$F$1:$H$1,0)),rastreabilidade!$N:$N,$AM32),0)
+IF($N32="",0,IFERROR(SUMIFS(INDEX(rastreabilidade!$F:$H,0,MATCH(G$3,rastreabilidade!$F$1:$H$1,0)),rastreabilidade!$M:$M,$N32),0))
+IF($O32="",0,IFERROR(SUMIFS(INDEX(rastreabilidade!$F:$H,0,MATCH(G$3,rastreabilidade!$F$1:$H$1,0)),rastreabilidade!$M:$M,$O32),0))
+IF($P32="",0,IFERROR(SUMIFS(INDEX(rastreabilidade!$F:$H,0,MATCH(G$3,rastreabilidade!$F$1:$H$1,0)),rastreabilidade!$M:$M,$P32),0))
+IF($Q32="",0,IFERROR(SUMIFS(INDEX(rastreabilidade!$F:$H,0,MATCH(G$3,rastreabilidade!$F$1:$H$1,0)),rastreabilidade!$M:$M,$Q32),0))
-IF($J32="",0,IFERROR(SUMIFS(INDEX(rastreabilidade!$F:$H,0,MATCH(G$3,rastreabilidade!$F$1:$H$1,0)),rastreabilidade!$M:$M,$J32,rastreabilidade!$N:$N,$AM32),0))
-IF($K32="",0,IFERROR(SUMIFS(INDEX(rastreabilidade!$F:$H,0,MATCH(G$3,rastreabilidade!$F$1:$H$1,0)),rastreabilidade!$M:$M,$K32,rastreabilidade!$N:$N,$AM32),0))
-IF($L32="",0,IFERROR(SUMIFS(INDEX(rastreabilidade!$F:$H,0,MATCH(G$3,rastreabilidade!$F$1:$H$1,0)),rastreabilidade!$M:$M,$L32,rastreabilidade!$N:$N,$AM32),0))
-IF($M32="",0,IFERROR(SUMIFS(INDEX(rastreabilidade!$F:$H,0,MATCH(G$3,rastreabilidade!$F$1:$H$1,0)),rastreabilidade!$M:$M,$M32,rastreabilidade!$N:$N,$AM32),0))</f>
        <v>0</v>
      </c>
      <c r="H32" s="36"/>
      <c r="I32" s="155" t="str" cm="1">
        <f t="array" ref="I32">_xlfn.LET(
_xlpm.mem,H32,
_xlpm.retiradas,J32:M32,
_xlpm.adicoes,N32:Q32,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32" s="54"/>
      <c r="K32" s="54"/>
      <c r="L32" s="54"/>
      <c r="M32" s="54"/>
      <c r="N32" s="58"/>
      <c r="O32" s="58"/>
      <c r="P32" s="58"/>
      <c r="Q32" s="108"/>
      <c r="R32" s="4"/>
      <c r="S32" s="104" t="s">
        <v>74</v>
      </c>
      <c r="T32" s="19">
        <f>+T26+T31</f>
        <v>0</v>
      </c>
      <c r="U32" s="51"/>
      <c r="V32" s="4"/>
      <c r="W32" s="164">
        <f>+W26+W31</f>
        <v>0</v>
      </c>
      <c r="X32" s="164">
        <f>+X26+X31</f>
        <v>0</v>
      </c>
      <c r="Y32" s="164">
        <f>+Y26+Y31</f>
        <v>0</v>
      </c>
      <c r="Z32" s="47"/>
      <c r="AA32" s="51"/>
      <c r="AB32" s="115"/>
      <c r="AC32" s="51"/>
      <c r="AD32" s="51"/>
      <c r="AE32" s="51"/>
      <c r="AF32" s="51"/>
      <c r="AG32" s="51"/>
      <c r="AH32" s="51"/>
      <c r="AI32" s="51"/>
      <c r="AJ32" s="105"/>
      <c r="AL32" s="5"/>
      <c r="AM32" s="5" t="str">
        <f t="shared" si="2"/>
        <v>- Depreciação acumulada (Direito de uso)|Ativo|Não Circulante</v>
      </c>
      <c r="AN32" s="5" t="str">
        <f t="shared" si="1"/>
        <v>Lucro antes de Impostos |DRE|DRE</v>
      </c>
      <c r="AO32" s="5"/>
      <c r="AP32" s="5"/>
      <c r="AQ32" s="6"/>
      <c r="AR32" s="7"/>
      <c r="AS32" s="7"/>
      <c r="AT32" s="7"/>
    </row>
    <row r="33" spans="1:46" ht="35.1" customHeight="1" x14ac:dyDescent="0.25">
      <c r="A33" s="79" t="s">
        <v>75</v>
      </c>
      <c r="B33" s="123">
        <f>+B31-B32</f>
        <v>0</v>
      </c>
      <c r="C33" s="39"/>
      <c r="D33" s="4"/>
      <c r="E33" s="123">
        <f>+E31-E32</f>
        <v>0</v>
      </c>
      <c r="F33" s="123">
        <f>+F31-F32</f>
        <v>0</v>
      </c>
      <c r="G33" s="124">
        <f>+G31-G32</f>
        <v>0</v>
      </c>
      <c r="H33" s="41"/>
      <c r="I33" s="39"/>
      <c r="J33" s="41">
        <f>+J31-J32</f>
        <v>0</v>
      </c>
      <c r="K33" s="41"/>
      <c r="L33" s="41"/>
      <c r="M33" s="41"/>
      <c r="N33" s="41"/>
      <c r="O33" s="41"/>
      <c r="P33" s="41"/>
      <c r="Q33" s="110">
        <f>+Q31-Q32</f>
        <v>0</v>
      </c>
      <c r="R33" s="4"/>
      <c r="S33" s="98" t="s">
        <v>76</v>
      </c>
      <c r="T33" s="11">
        <f>IFERROR(SUMIFS(INDEX(rastreabilidade!$F:$H,0,MATCH($T$2,rastreabilidade!$F$1:$H$1,0)),rastreabilidade!$K:$K,$S33,rastreabilidade!$D:$D,"Sim"),0)</f>
        <v>0</v>
      </c>
      <c r="U33" s="35"/>
      <c r="V33" s="4"/>
      <c r="W33" s="156">
        <f>IFERROR(SUMIFS(INDEX(rastreabilidade!$F:$H,0,MATCH(W$3,rastreabilidade!$F$1:$H$1,0)),rastreabilidade!$N:$N,$AN33),0)*IF($AB33="sim",-1,1)
+IF($AG33="",0,IFERROR(SUMIFS(INDEX(rastreabilidade!$F:$H,0,MATCH(W$3,rastreabilidade!$F$1:$H$1,0)),rastreabilidade!$M:$M,$AG33),0))
+IF($AH33="",0,IFERROR(SUMIFS(INDEX(rastreabilidade!$F:$H,0,MATCH(W$3,rastreabilidade!$F$1:$H$1,0)),rastreabilidade!$M:$M,$AH33),0))
+IF($AI33="",0,IFERROR(SUMIFS(INDEX(rastreabilidade!$F:$H,0,MATCH(W$3,rastreabilidade!$F$1:$H$1,0)),rastreabilidade!$M:$M,$AI33),0))
+IF($AJ33="",0,IFERROR(SUMIFS(INDEX(rastreabilidade!$F:$H,0,MATCH(W$3,rastreabilidade!$F$1:$H$1,0)),rastreabilidade!$M:$M,$AJ33),0))
-IF($AC33="",0,IFERROR(SUMIFS(INDEX(rastreabilidade!$F:$H,0,MATCH(W$3,rastreabilidade!$F$1:$H$1,0)),rastreabilidade!$M:$M,$AC33,rastreabilidade!$N:$N,$AN33),0))
-IF($AD33="",0,IFERROR(SUMIFS(INDEX(rastreabilidade!$F:$H,0,MATCH(W$3,rastreabilidade!$F$1:$H$1,0)),rastreabilidade!$M:$M,$AD33,rastreabilidade!$N:$N,$AN33),0))
-IF($AE33="",0,IFERROR(SUMIFS(INDEX(rastreabilidade!$F:$H,0,MATCH(W$3,rastreabilidade!$F$1:$H$1,0)),rastreabilidade!$M:$M,$AE33,rastreabilidade!$N:$N,$AN33),0))
-IF($AF33="",0,IFERROR(SUMIFS(INDEX(rastreabilidade!$F:$H,0,MATCH(W$3,rastreabilidade!$F$1:$H$1,0)),rastreabilidade!$M:$M,$AF33,rastreabilidade!$N:$N,$AN33),0))</f>
        <v>0</v>
      </c>
      <c r="X33" s="156">
        <f>IFERROR(SUMIFS(INDEX(rastreabilidade!$F:$H,0,MATCH(X$3,rastreabilidade!$F$1:$H$1,0)),rastreabilidade!$N:$N,$AN33),0)*IF($AB33="sim",-1,1)
+IF($AG33="",0,IFERROR(SUMIFS(INDEX(rastreabilidade!$F:$H,0,MATCH(X$3,rastreabilidade!$F$1:$H$1,0)),rastreabilidade!$M:$M,$AG33),0))
+IF($AH33="",0,IFERROR(SUMIFS(INDEX(rastreabilidade!$F:$H,0,MATCH(X$3,rastreabilidade!$F$1:$H$1,0)),rastreabilidade!$M:$M,$AH33),0))
+IF($AI33="",0,IFERROR(SUMIFS(INDEX(rastreabilidade!$F:$H,0,MATCH(X$3,rastreabilidade!$F$1:$H$1,0)),rastreabilidade!$M:$M,$AI33),0))
+IF($AJ33="",0,IFERROR(SUMIFS(INDEX(rastreabilidade!$F:$H,0,MATCH(X$3,rastreabilidade!$F$1:$H$1,0)),rastreabilidade!$M:$M,$AJ33),0))
-IF($AC33="",0,IFERROR(SUMIFS(INDEX(rastreabilidade!$F:$H,0,MATCH(X$3,rastreabilidade!$F$1:$H$1,0)),rastreabilidade!$M:$M,$AC33,rastreabilidade!$N:$N,$AN33),0))
-IF($AD33="",0,IFERROR(SUMIFS(INDEX(rastreabilidade!$F:$H,0,MATCH(X$3,rastreabilidade!$F$1:$H$1,0)),rastreabilidade!$M:$M,$AD33,rastreabilidade!$N:$N,$AN33),0))
-IF($AE33="",0,IFERROR(SUMIFS(INDEX(rastreabilidade!$F:$H,0,MATCH(X$3,rastreabilidade!$F$1:$H$1,0)),rastreabilidade!$M:$M,$AE33,rastreabilidade!$N:$N,$AN33),0))
-IF($AF33="",0,IFERROR(SUMIFS(INDEX(rastreabilidade!$F:$H,0,MATCH(X$3,rastreabilidade!$F$1:$H$1,0)),rastreabilidade!$M:$M,$AF33,rastreabilidade!$N:$N,$AN33),0))</f>
        <v>0</v>
      </c>
      <c r="Y33" s="156">
        <f>IFERROR(SUMIFS(INDEX(rastreabilidade!$F:$H,0,MATCH(Y$3,rastreabilidade!$F$1:$H$1,0)),rastreabilidade!$N:$N,$AN33),0)*IF($AB33="sim",-1,1)
+IF($AG33="",0,IFERROR(SUMIFS(INDEX(rastreabilidade!$F:$H,0,MATCH(Y$3,rastreabilidade!$F$1:$H$1,0)),rastreabilidade!$M:$M,$AG33),0))
+IF($AH33="",0,IFERROR(SUMIFS(INDEX(rastreabilidade!$F:$H,0,MATCH(Y$3,rastreabilidade!$F$1:$H$1,0)),rastreabilidade!$M:$M,$AH33),0))
+IF($AI33="",0,IFERROR(SUMIFS(INDEX(rastreabilidade!$F:$H,0,MATCH(Y$3,rastreabilidade!$F$1:$H$1,0)),rastreabilidade!$M:$M,$AI33),0))
+IF($AJ33="",0,IFERROR(SUMIFS(INDEX(rastreabilidade!$F:$H,0,MATCH(Y$3,rastreabilidade!$F$1:$H$1,0)),rastreabilidade!$M:$M,$AJ33),0))
-IF($AC33="",0,IFERROR(SUMIFS(INDEX(rastreabilidade!$F:$H,0,MATCH(Y$3,rastreabilidade!$F$1:$H$1,0)),rastreabilidade!$M:$M,$AC33,rastreabilidade!$N:$N,$AN33),0))
-IF($AD33="",0,IFERROR(SUMIFS(INDEX(rastreabilidade!$F:$H,0,MATCH(Y$3,rastreabilidade!$F$1:$H$1,0)),rastreabilidade!$M:$M,$AD33,rastreabilidade!$N:$N,$AN33),0))
-IF($AE33="",0,IFERROR(SUMIFS(INDEX(rastreabilidade!$F:$H,0,MATCH(Y$3,rastreabilidade!$F$1:$H$1,0)),rastreabilidade!$M:$M,$AE33,rastreabilidade!$N:$N,$AN33),0))
-IF($AF33="",0,IFERROR(SUMIFS(INDEX(rastreabilidade!$F:$H,0,MATCH(Y$3,rastreabilidade!$F$1:$H$1,0)),rastreabilidade!$M:$M,$AF33,rastreabilidade!$N:$N,$AN33),0))</f>
        <v>0</v>
      </c>
      <c r="Z33" s="36"/>
      <c r="AA33" s="177" t="str" cm="1">
        <f t="array" ref="AA33">_xlfn.LET(
_xlpm.mem,Z33,
_xlpm.retiradas,AC33:AF33,
_xlpm.adicoes,AG33:AJ33,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33" s="114"/>
      <c r="AC33" s="54"/>
      <c r="AD33" s="54"/>
      <c r="AE33" s="54"/>
      <c r="AF33" s="54"/>
      <c r="AG33" s="58"/>
      <c r="AH33" s="58"/>
      <c r="AI33" s="58"/>
      <c r="AJ33" s="108"/>
      <c r="AL33" s="5"/>
      <c r="AM33" s="5" t="str">
        <f t="shared" si="2"/>
        <v>Direito de Uso Líquido|Ativo|Não Circulante</v>
      </c>
      <c r="AN33" s="5" t="str">
        <f t="shared" si="1"/>
        <v>- Impostos Pagos|DRE|DRE</v>
      </c>
      <c r="AO33" s="5"/>
      <c r="AP33" s="5"/>
      <c r="AQ33" s="6"/>
      <c r="AR33" s="7"/>
      <c r="AS33" s="7"/>
      <c r="AT33" s="7"/>
    </row>
    <row r="34" spans="1:46" ht="35.1" customHeight="1" x14ac:dyDescent="0.25">
      <c r="A34" s="78" t="s">
        <v>77</v>
      </c>
      <c r="B34" s="121">
        <f>IFERROR(SUMIFS(INDEX(rastreabilidade!$F:$H,0,MATCH($B$2,rastreabilidade!$F$1:$H$1,0)),rastreabilidade!$K:$K,$A34,rastreabilidade!$D:$D,"Sim"),0)</f>
        <v>0</v>
      </c>
      <c r="C34" s="35"/>
      <c r="D34" s="4"/>
      <c r="E34" s="121">
        <f>IFERROR(SUMIFS(INDEX(rastreabilidade!$F:$H,0,MATCH(E$3,rastreabilidade!$F$1:$H$1,0)),rastreabilidade!$N:$N,$AM34),0)
+IF($N34="",0,IFERROR(SUMIFS(INDEX(rastreabilidade!$F:$H,0,MATCH(E$3,rastreabilidade!$F$1:$H$1,0)),rastreabilidade!$M:$M,$N34),0))
+IF($O34="",0,IFERROR(SUMIFS(INDEX(rastreabilidade!$F:$H,0,MATCH(E$3,rastreabilidade!$F$1:$H$1,0)),rastreabilidade!$M:$M,$O34),0))
+IF($P34="",0,IFERROR(SUMIFS(INDEX(rastreabilidade!$F:$H,0,MATCH(E$3,rastreabilidade!$F$1:$H$1,0)),rastreabilidade!$M:$M,$P34),0))
+IF($Q34="",0,IFERROR(SUMIFS(INDEX(rastreabilidade!$F:$H,0,MATCH(E$3,rastreabilidade!$F$1:$H$1,0)),rastreabilidade!$M:$M,$Q34),0))
-IF($J34="",0,IFERROR(SUMIFS(INDEX(rastreabilidade!$F:$H,0,MATCH(E$3,rastreabilidade!$F$1:$H$1,0)),rastreabilidade!$M:$M,$J34,rastreabilidade!$N:$N,$AM34),0))
-IF($K34="",0,IFERROR(SUMIFS(INDEX(rastreabilidade!$F:$H,0,MATCH(E$3,rastreabilidade!$F$1:$H$1,0)),rastreabilidade!$M:$M,$K34,rastreabilidade!$N:$N,$AM34),0))
-IF($L34="",0,IFERROR(SUMIFS(INDEX(rastreabilidade!$F:$H,0,MATCH(E$3,rastreabilidade!$F$1:$H$1,0)),rastreabilidade!$M:$M,$L34,rastreabilidade!$N:$N,$AM34),0))
-IF($M34="",0,IFERROR(SUMIFS(INDEX(rastreabilidade!$F:$H,0,MATCH(E$3,rastreabilidade!$F$1:$H$1,0)),rastreabilidade!$M:$M,$M34,rastreabilidade!$N:$N,$AM34),0))</f>
        <v>0</v>
      </c>
      <c r="F34" s="121">
        <f>IFERROR(SUMIFS(INDEX(rastreabilidade!$F:$H,0,MATCH(F$3,rastreabilidade!$F$1:$H$1,0)),rastreabilidade!$N:$N,$AM34),0)
+IF($N34="",0,IFERROR(SUMIFS(INDEX(rastreabilidade!$F:$H,0,MATCH(F$3,rastreabilidade!$F$1:$H$1,0)),rastreabilidade!$M:$M,$N34),0))
+IF($O34="",0,IFERROR(SUMIFS(INDEX(rastreabilidade!$F:$H,0,MATCH(F$3,rastreabilidade!$F$1:$H$1,0)),rastreabilidade!$M:$M,$O34),0))
+IF($P34="",0,IFERROR(SUMIFS(INDEX(rastreabilidade!$F:$H,0,MATCH(F$3,rastreabilidade!$F$1:$H$1,0)),rastreabilidade!$M:$M,$P34),0))
+IF($Q34="",0,IFERROR(SUMIFS(INDEX(rastreabilidade!$F:$H,0,MATCH(F$3,rastreabilidade!$F$1:$H$1,0)),rastreabilidade!$M:$M,$Q34),0))
-IF($J34="",0,IFERROR(SUMIFS(INDEX(rastreabilidade!$F:$H,0,MATCH(F$3,rastreabilidade!$F$1:$H$1,0)),rastreabilidade!$M:$M,$J34,rastreabilidade!$N:$N,$AM34),0))
-IF($K34="",0,IFERROR(SUMIFS(INDEX(rastreabilidade!$F:$H,0,MATCH(F$3,rastreabilidade!$F$1:$H$1,0)),rastreabilidade!$M:$M,$K34,rastreabilidade!$N:$N,$AM34),0))
-IF($L34="",0,IFERROR(SUMIFS(INDEX(rastreabilidade!$F:$H,0,MATCH(F$3,rastreabilidade!$F$1:$H$1,0)),rastreabilidade!$M:$M,$L34,rastreabilidade!$N:$N,$AM34),0))
-IF($M34="",0,IFERROR(SUMIFS(INDEX(rastreabilidade!$F:$H,0,MATCH(F$3,rastreabilidade!$F$1:$H$1,0)),rastreabilidade!$M:$M,$M34,rastreabilidade!$N:$N,$AM34),0))</f>
        <v>0</v>
      </c>
      <c r="G34" s="122">
        <f>IFERROR(SUMIFS(INDEX(rastreabilidade!$F:$H,0,MATCH(G$3,rastreabilidade!$F$1:$H$1,0)),rastreabilidade!$N:$N,$AM34),0)
+IF($N34="",0,IFERROR(SUMIFS(INDEX(rastreabilidade!$F:$H,0,MATCH(G$3,rastreabilidade!$F$1:$H$1,0)),rastreabilidade!$M:$M,$N34),0))
+IF($O34="",0,IFERROR(SUMIFS(INDEX(rastreabilidade!$F:$H,0,MATCH(G$3,rastreabilidade!$F$1:$H$1,0)),rastreabilidade!$M:$M,$O34),0))
+IF($P34="",0,IFERROR(SUMIFS(INDEX(rastreabilidade!$F:$H,0,MATCH(G$3,rastreabilidade!$F$1:$H$1,0)),rastreabilidade!$M:$M,$P34),0))
+IF($Q34="",0,IFERROR(SUMIFS(INDEX(rastreabilidade!$F:$H,0,MATCH(G$3,rastreabilidade!$F$1:$H$1,0)),rastreabilidade!$M:$M,$Q34),0))
-IF($J34="",0,IFERROR(SUMIFS(INDEX(rastreabilidade!$F:$H,0,MATCH(G$3,rastreabilidade!$F$1:$H$1,0)),rastreabilidade!$M:$M,$J34,rastreabilidade!$N:$N,$AM34),0))
-IF($K34="",0,IFERROR(SUMIFS(INDEX(rastreabilidade!$F:$H,0,MATCH(G$3,rastreabilidade!$F$1:$H$1,0)),rastreabilidade!$M:$M,$K34,rastreabilidade!$N:$N,$AM34),0))
-IF($L34="",0,IFERROR(SUMIFS(INDEX(rastreabilidade!$F:$H,0,MATCH(G$3,rastreabilidade!$F$1:$H$1,0)),rastreabilidade!$M:$M,$L34,rastreabilidade!$N:$N,$AM34),0))
-IF($M34="",0,IFERROR(SUMIFS(INDEX(rastreabilidade!$F:$H,0,MATCH(G$3,rastreabilidade!$F$1:$H$1,0)),rastreabilidade!$M:$M,$M34,rastreabilidade!$N:$N,$AM34),0))</f>
        <v>0</v>
      </c>
      <c r="H34" s="36"/>
      <c r="I34" s="155" t="str" cm="1">
        <f t="array" ref="I34">_xlfn.LET(
_xlpm.mem,H34,
_xlpm.retiradas,J34:M34,
_xlpm.adicoes,N34:Q34,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34" s="54"/>
      <c r="K34" s="54"/>
      <c r="L34" s="54"/>
      <c r="M34" s="54"/>
      <c r="N34" s="58"/>
      <c r="O34" s="58"/>
      <c r="P34" s="58"/>
      <c r="Q34" s="108"/>
      <c r="R34" s="4"/>
      <c r="S34" s="98" t="s">
        <v>78</v>
      </c>
      <c r="T34" s="12">
        <f>IFERROR(SUMIFS(INDEX(rastreabilidade!$F:$H,0,MATCH($T$2,rastreabilidade!$F$1:$H$1,0)),rastreabilidade!$K:$K,$S34,rastreabilidade!$D:$D,"Sim"),0)</f>
        <v>0</v>
      </c>
      <c r="U34" s="35"/>
      <c r="V34" s="4"/>
      <c r="W34" s="158">
        <f>IFERROR(SUMIFS(INDEX(rastreabilidade!$F:$H,0,MATCH(W$3,rastreabilidade!$F$1:$H$1,0)),rastreabilidade!$N:$N,$AN34),0)*IF($AB34="sim",-1,1)
+IF($AG34="",0,IFERROR(SUMIFS(INDEX(rastreabilidade!$F:$H,0,MATCH(W$3,rastreabilidade!$F$1:$H$1,0)),rastreabilidade!$M:$M,$AG34),0))
+IF($AH34="",0,IFERROR(SUMIFS(INDEX(rastreabilidade!$F:$H,0,MATCH(W$3,rastreabilidade!$F$1:$H$1,0)),rastreabilidade!$M:$M,$AH34),0))
+IF($AI34="",0,IFERROR(SUMIFS(INDEX(rastreabilidade!$F:$H,0,MATCH(W$3,rastreabilidade!$F$1:$H$1,0)),rastreabilidade!$M:$M,$AI34),0))
+IF($AJ34="",0,IFERROR(SUMIFS(INDEX(rastreabilidade!$F:$H,0,MATCH(W$3,rastreabilidade!$F$1:$H$1,0)),rastreabilidade!$M:$M,$AJ34),0))
-IF($AC34="",0,IFERROR(SUMIFS(INDEX(rastreabilidade!$F:$H,0,MATCH(W$3,rastreabilidade!$F$1:$H$1,0)),rastreabilidade!$M:$M,$AC34,rastreabilidade!$N:$N,$AN34),0))
-IF($AD34="",0,IFERROR(SUMIFS(INDEX(rastreabilidade!$F:$H,0,MATCH(W$3,rastreabilidade!$F$1:$H$1,0)),rastreabilidade!$M:$M,$AD34,rastreabilidade!$N:$N,$AN34),0))
-IF($AE34="",0,IFERROR(SUMIFS(INDEX(rastreabilidade!$F:$H,0,MATCH(W$3,rastreabilidade!$F$1:$H$1,0)),rastreabilidade!$M:$M,$AE34,rastreabilidade!$N:$N,$AN34),0))
-IF($AF34="",0,IFERROR(SUMIFS(INDEX(rastreabilidade!$F:$H,0,MATCH(W$3,rastreabilidade!$F$1:$H$1,0)),rastreabilidade!$M:$M,$AF34,rastreabilidade!$N:$N,$AN34),0))</f>
        <v>0</v>
      </c>
      <c r="X34" s="158">
        <f>IFERROR(SUMIFS(INDEX(rastreabilidade!$F:$H,0,MATCH(X$3,rastreabilidade!$F$1:$H$1,0)),rastreabilidade!$N:$N,$AN34),0)*IF($AB34="sim",-1,1)
+IF($AG34="",0,IFERROR(SUMIFS(INDEX(rastreabilidade!$F:$H,0,MATCH(X$3,rastreabilidade!$F$1:$H$1,0)),rastreabilidade!$M:$M,$AG34),0))
+IF($AH34="",0,IFERROR(SUMIFS(INDEX(rastreabilidade!$F:$H,0,MATCH(X$3,rastreabilidade!$F$1:$H$1,0)),rastreabilidade!$M:$M,$AH34),0))
+IF($AI34="",0,IFERROR(SUMIFS(INDEX(rastreabilidade!$F:$H,0,MATCH(X$3,rastreabilidade!$F$1:$H$1,0)),rastreabilidade!$M:$M,$AI34),0))
+IF($AJ34="",0,IFERROR(SUMIFS(INDEX(rastreabilidade!$F:$H,0,MATCH(X$3,rastreabilidade!$F$1:$H$1,0)),rastreabilidade!$M:$M,$AJ34),0))
-IF($AC34="",0,IFERROR(SUMIFS(INDEX(rastreabilidade!$F:$H,0,MATCH(X$3,rastreabilidade!$F$1:$H$1,0)),rastreabilidade!$M:$M,$AC34,rastreabilidade!$N:$N,$AN34),0))
-IF($AD34="",0,IFERROR(SUMIFS(INDEX(rastreabilidade!$F:$H,0,MATCH(X$3,rastreabilidade!$F$1:$H$1,0)),rastreabilidade!$M:$M,$AD34,rastreabilidade!$N:$N,$AN34),0))
-IF($AE34="",0,IFERROR(SUMIFS(INDEX(rastreabilidade!$F:$H,0,MATCH(X$3,rastreabilidade!$F$1:$H$1,0)),rastreabilidade!$M:$M,$AE34,rastreabilidade!$N:$N,$AN34),0))
-IF($AF34="",0,IFERROR(SUMIFS(INDEX(rastreabilidade!$F:$H,0,MATCH(X$3,rastreabilidade!$F$1:$H$1,0)),rastreabilidade!$M:$M,$AF34,rastreabilidade!$N:$N,$AN34),0))</f>
        <v>0</v>
      </c>
      <c r="Y34" s="158">
        <f>IFERROR(SUMIFS(INDEX(rastreabilidade!$F:$H,0,MATCH(Y$3,rastreabilidade!$F$1:$H$1,0)),rastreabilidade!$N:$N,$AN34),0)*IF($AB34="sim",-1,1)
+IF($AG34="",0,IFERROR(SUMIFS(INDEX(rastreabilidade!$F:$H,0,MATCH(Y$3,rastreabilidade!$F$1:$H$1,0)),rastreabilidade!$M:$M,$AG34),0))
+IF($AH34="",0,IFERROR(SUMIFS(INDEX(rastreabilidade!$F:$H,0,MATCH(Y$3,rastreabilidade!$F$1:$H$1,0)),rastreabilidade!$M:$M,$AH34),0))
+IF($AI34="",0,IFERROR(SUMIFS(INDEX(rastreabilidade!$F:$H,0,MATCH(Y$3,rastreabilidade!$F$1:$H$1,0)),rastreabilidade!$M:$M,$AI34),0))
+IF($AJ34="",0,IFERROR(SUMIFS(INDEX(rastreabilidade!$F:$H,0,MATCH(Y$3,rastreabilidade!$F$1:$H$1,0)),rastreabilidade!$M:$M,$AJ34),0))
-IF($AC34="",0,IFERROR(SUMIFS(INDEX(rastreabilidade!$F:$H,0,MATCH(Y$3,rastreabilidade!$F$1:$H$1,0)),rastreabilidade!$M:$M,$AC34,rastreabilidade!$N:$N,$AN34),0))
-IF($AD34="",0,IFERROR(SUMIFS(INDEX(rastreabilidade!$F:$H,0,MATCH(Y$3,rastreabilidade!$F$1:$H$1,0)),rastreabilidade!$M:$M,$AD34,rastreabilidade!$N:$N,$AN34),0))
-IF($AE34="",0,IFERROR(SUMIFS(INDEX(rastreabilidade!$F:$H,0,MATCH(Y$3,rastreabilidade!$F$1:$H$1,0)),rastreabilidade!$M:$M,$AE34,rastreabilidade!$N:$N,$AN34),0))
-IF($AF34="",0,IFERROR(SUMIFS(INDEX(rastreabilidade!$F:$H,0,MATCH(Y$3,rastreabilidade!$F$1:$H$1,0)),rastreabilidade!$M:$M,$AF34,rastreabilidade!$N:$N,$AN34),0))</f>
        <v>0</v>
      </c>
      <c r="Z34" s="47"/>
      <c r="AA34" s="177" t="str" cm="1">
        <f t="array" ref="AA34">_xlfn.LET(
_xlpm.mem,Z34,
_xlpm.retiradas,AC34:AF34,
_xlpm.adicoes,AG34:AJ34,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34" s="114"/>
      <c r="AC34" s="54"/>
      <c r="AD34" s="54"/>
      <c r="AE34" s="54"/>
      <c r="AF34" s="54"/>
      <c r="AG34" s="58"/>
      <c r="AH34" s="58"/>
      <c r="AI34" s="58"/>
      <c r="AJ34" s="108"/>
      <c r="AL34" s="5"/>
      <c r="AM34" s="5" t="str">
        <f t="shared" si="2"/>
        <v>Terreno|Ativo|Não Circulante</v>
      </c>
      <c r="AN34" s="5" t="str">
        <f t="shared" si="1"/>
        <v>+/- Impostos Diferidos|DRE|DRE</v>
      </c>
      <c r="AO34" s="5"/>
      <c r="AP34" s="5"/>
      <c r="AQ34" s="6"/>
      <c r="AR34" s="7"/>
      <c r="AS34" s="7"/>
      <c r="AT34" s="7"/>
    </row>
    <row r="35" spans="1:46" ht="35.1" customHeight="1" x14ac:dyDescent="0.25">
      <c r="A35" s="78" t="s">
        <v>79</v>
      </c>
      <c r="B35" s="121">
        <f>IFERROR(SUMIFS(INDEX(rastreabilidade!$F:$H,0,MATCH($B$2,rastreabilidade!$F$1:$H$1,0)),rastreabilidade!$K:$K,$A35,rastreabilidade!$D:$D,"Sim"),0)</f>
        <v>0</v>
      </c>
      <c r="C35" s="35"/>
      <c r="D35" s="4"/>
      <c r="E35" s="121">
        <f>IFERROR(SUMIFS(INDEX(rastreabilidade!$F:$H,0,MATCH(E$3,rastreabilidade!$F$1:$H$1,0)),rastreabilidade!$N:$N,$AM35),0)
+IF($N35="",0,IFERROR(SUMIFS(INDEX(rastreabilidade!$F:$H,0,MATCH(E$3,rastreabilidade!$F$1:$H$1,0)),rastreabilidade!$M:$M,$N35),0))
+IF($O35="",0,IFERROR(SUMIFS(INDEX(rastreabilidade!$F:$H,0,MATCH(E$3,rastreabilidade!$F$1:$H$1,0)),rastreabilidade!$M:$M,$O35),0))
+IF($P35="",0,IFERROR(SUMIFS(INDEX(rastreabilidade!$F:$H,0,MATCH(E$3,rastreabilidade!$F$1:$H$1,0)),rastreabilidade!$M:$M,$P35),0))
+IF($Q35="",0,IFERROR(SUMIFS(INDEX(rastreabilidade!$F:$H,0,MATCH(E$3,rastreabilidade!$F$1:$H$1,0)),rastreabilidade!$M:$M,$Q35),0))
-IF($J35="",0,IFERROR(SUMIFS(INDEX(rastreabilidade!$F:$H,0,MATCH(E$3,rastreabilidade!$F$1:$H$1,0)),rastreabilidade!$M:$M,$J35,rastreabilidade!$N:$N,$AM35),0))
-IF($K35="",0,IFERROR(SUMIFS(INDEX(rastreabilidade!$F:$H,0,MATCH(E$3,rastreabilidade!$F$1:$H$1,0)),rastreabilidade!$M:$M,$K35,rastreabilidade!$N:$N,$AM35),0))
-IF($L35="",0,IFERROR(SUMIFS(INDEX(rastreabilidade!$F:$H,0,MATCH(E$3,rastreabilidade!$F$1:$H$1,0)),rastreabilidade!$M:$M,$L35,rastreabilidade!$N:$N,$AM35),0))
-IF($M35="",0,IFERROR(SUMIFS(INDEX(rastreabilidade!$F:$H,0,MATCH(E$3,rastreabilidade!$F$1:$H$1,0)),rastreabilidade!$M:$M,$M35,rastreabilidade!$N:$N,$AM35),0))</f>
        <v>0</v>
      </c>
      <c r="F35" s="121">
        <f>IFERROR(SUMIFS(INDEX(rastreabilidade!$F:$H,0,MATCH(F$3,rastreabilidade!$F$1:$H$1,0)),rastreabilidade!$N:$N,$AM35),0)
+IF($N35="",0,IFERROR(SUMIFS(INDEX(rastreabilidade!$F:$H,0,MATCH(F$3,rastreabilidade!$F$1:$H$1,0)),rastreabilidade!$M:$M,$N35),0))
+IF($O35="",0,IFERROR(SUMIFS(INDEX(rastreabilidade!$F:$H,0,MATCH(F$3,rastreabilidade!$F$1:$H$1,0)),rastreabilidade!$M:$M,$O35),0))
+IF($P35="",0,IFERROR(SUMIFS(INDEX(rastreabilidade!$F:$H,0,MATCH(F$3,rastreabilidade!$F$1:$H$1,0)),rastreabilidade!$M:$M,$P35),0))
+IF($Q35="",0,IFERROR(SUMIFS(INDEX(rastreabilidade!$F:$H,0,MATCH(F$3,rastreabilidade!$F$1:$H$1,0)),rastreabilidade!$M:$M,$Q35),0))
-IF($J35="",0,IFERROR(SUMIFS(INDEX(rastreabilidade!$F:$H,0,MATCH(F$3,rastreabilidade!$F$1:$H$1,0)),rastreabilidade!$M:$M,$J35,rastreabilidade!$N:$N,$AM35),0))
-IF($K35="",0,IFERROR(SUMIFS(INDEX(rastreabilidade!$F:$H,0,MATCH(F$3,rastreabilidade!$F$1:$H$1,0)),rastreabilidade!$M:$M,$K35,rastreabilidade!$N:$N,$AM35),0))
-IF($L35="",0,IFERROR(SUMIFS(INDEX(rastreabilidade!$F:$H,0,MATCH(F$3,rastreabilidade!$F$1:$H$1,0)),rastreabilidade!$M:$M,$L35,rastreabilidade!$N:$N,$AM35),0))
-IF($M35="",0,IFERROR(SUMIFS(INDEX(rastreabilidade!$F:$H,0,MATCH(F$3,rastreabilidade!$F$1:$H$1,0)),rastreabilidade!$M:$M,$M35,rastreabilidade!$N:$N,$AM35),0))</f>
        <v>0</v>
      </c>
      <c r="G35" s="122">
        <f>IFERROR(SUMIFS(INDEX(rastreabilidade!$F:$H,0,MATCH(G$3,rastreabilidade!$F$1:$H$1,0)),rastreabilidade!$N:$N,$AM35),0)
+IF($N35="",0,IFERROR(SUMIFS(INDEX(rastreabilidade!$F:$H,0,MATCH(G$3,rastreabilidade!$F$1:$H$1,0)),rastreabilidade!$M:$M,$N35),0))
+IF($O35="",0,IFERROR(SUMIFS(INDEX(rastreabilidade!$F:$H,0,MATCH(G$3,rastreabilidade!$F$1:$H$1,0)),rastreabilidade!$M:$M,$O35),0))
+IF($P35="",0,IFERROR(SUMIFS(INDEX(rastreabilidade!$F:$H,0,MATCH(G$3,rastreabilidade!$F$1:$H$1,0)),rastreabilidade!$M:$M,$P35),0))
+IF($Q35="",0,IFERROR(SUMIFS(INDEX(rastreabilidade!$F:$H,0,MATCH(G$3,rastreabilidade!$F$1:$H$1,0)),rastreabilidade!$M:$M,$Q35),0))
-IF($J35="",0,IFERROR(SUMIFS(INDEX(rastreabilidade!$F:$H,0,MATCH(G$3,rastreabilidade!$F$1:$H$1,0)),rastreabilidade!$M:$M,$J35,rastreabilidade!$N:$N,$AM35),0))
-IF($K35="",0,IFERROR(SUMIFS(INDEX(rastreabilidade!$F:$H,0,MATCH(G$3,rastreabilidade!$F$1:$H$1,0)),rastreabilidade!$M:$M,$K35,rastreabilidade!$N:$N,$AM35),0))
-IF($L35="",0,IFERROR(SUMIFS(INDEX(rastreabilidade!$F:$H,0,MATCH(G$3,rastreabilidade!$F$1:$H$1,0)),rastreabilidade!$M:$M,$L35,rastreabilidade!$N:$N,$AM35),0))
-IF($M35="",0,IFERROR(SUMIFS(INDEX(rastreabilidade!$F:$H,0,MATCH(G$3,rastreabilidade!$F$1:$H$1,0)),rastreabilidade!$M:$M,$M35,rastreabilidade!$N:$N,$AM35),0))</f>
        <v>0</v>
      </c>
      <c r="H35" s="36"/>
      <c r="I35" s="155" t="str" cm="1">
        <f t="array" ref="I35">_xlfn.LET(
_xlpm.mem,H35,
_xlpm.retiradas,J35:M35,
_xlpm.adicoes,N35:Q35,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35" s="54"/>
      <c r="K35" s="54"/>
      <c r="L35" s="54"/>
      <c r="M35" s="54"/>
      <c r="N35" s="58"/>
      <c r="O35" s="58"/>
      <c r="P35" s="58"/>
      <c r="Q35" s="108"/>
      <c r="R35" s="4"/>
      <c r="S35" s="90" t="s">
        <v>80</v>
      </c>
      <c r="T35" s="14">
        <f>+T32-T33+T34</f>
        <v>0</v>
      </c>
      <c r="U35" s="51"/>
      <c r="V35" s="4"/>
      <c r="W35" s="159">
        <f>+W32-W33+W34</f>
        <v>0</v>
      </c>
      <c r="X35" s="159">
        <f>+X32-X33+X34</f>
        <v>0</v>
      </c>
      <c r="Y35" s="159">
        <f>+Y32-Y33+Y34</f>
        <v>0</v>
      </c>
      <c r="Z35" s="47"/>
      <c r="AA35" s="51"/>
      <c r="AB35" s="115"/>
      <c r="AC35" s="51"/>
      <c r="AD35" s="51"/>
      <c r="AE35" s="51"/>
      <c r="AF35" s="51"/>
      <c r="AG35" s="51"/>
      <c r="AH35" s="51"/>
      <c r="AI35" s="51"/>
      <c r="AJ35" s="105"/>
      <c r="AL35" s="5"/>
      <c r="AM35" s="5" t="str">
        <f t="shared" si="2"/>
        <v>Edificios, maquinas e outros|Ativo|Não Circulante</v>
      </c>
      <c r="AN35" s="5" t="str">
        <f t="shared" si="1"/>
        <v>Lucro Liquido|DRE|DRE</v>
      </c>
      <c r="AO35" s="5"/>
      <c r="AP35" s="5"/>
      <c r="AQ35" s="6"/>
      <c r="AR35" s="7"/>
      <c r="AS35" s="7"/>
      <c r="AT35" s="7"/>
    </row>
    <row r="36" spans="1:46" ht="35.1" customHeight="1" x14ac:dyDescent="0.25">
      <c r="A36" s="78" t="s">
        <v>81</v>
      </c>
      <c r="B36" s="121">
        <f>IFERROR(SUMIFS(INDEX(rastreabilidade!$F:$H,0,MATCH($B$2,rastreabilidade!$F$1:$H$1,0)),rastreabilidade!$K:$K,$A36,rastreabilidade!$D:$D,"Sim"),0)</f>
        <v>0</v>
      </c>
      <c r="C36" s="35"/>
      <c r="D36" s="4"/>
      <c r="E36" s="121">
        <f>IFERROR(SUMIFS(INDEX(rastreabilidade!$F:$H,0,MATCH(E$3,rastreabilidade!$F$1:$H$1,0)),rastreabilidade!$N:$N,$AM36),0)
+IF($N36="",0,IFERROR(SUMIFS(INDEX(rastreabilidade!$F:$H,0,MATCH(E$3,rastreabilidade!$F$1:$H$1,0)),rastreabilidade!$M:$M,$N36),0))
+IF($O36="",0,IFERROR(SUMIFS(INDEX(rastreabilidade!$F:$H,0,MATCH(E$3,rastreabilidade!$F$1:$H$1,0)),rastreabilidade!$M:$M,$O36),0))
+IF($P36="",0,IFERROR(SUMIFS(INDEX(rastreabilidade!$F:$H,0,MATCH(E$3,rastreabilidade!$F$1:$H$1,0)),rastreabilidade!$M:$M,$P36),0))
+IF($Q36="",0,IFERROR(SUMIFS(INDEX(rastreabilidade!$F:$H,0,MATCH(E$3,rastreabilidade!$F$1:$H$1,0)),rastreabilidade!$M:$M,$Q36),0))
-IF($J36="",0,IFERROR(SUMIFS(INDEX(rastreabilidade!$F:$H,0,MATCH(E$3,rastreabilidade!$F$1:$H$1,0)),rastreabilidade!$M:$M,$J36,rastreabilidade!$N:$N,$AM36),0))
-IF($K36="",0,IFERROR(SUMIFS(INDEX(rastreabilidade!$F:$H,0,MATCH(E$3,rastreabilidade!$F$1:$H$1,0)),rastreabilidade!$M:$M,$K36,rastreabilidade!$N:$N,$AM36),0))
-IF($L36="",0,IFERROR(SUMIFS(INDEX(rastreabilidade!$F:$H,0,MATCH(E$3,rastreabilidade!$F$1:$H$1,0)),rastreabilidade!$M:$M,$L36,rastreabilidade!$N:$N,$AM36),0))
-IF($M36="",0,IFERROR(SUMIFS(INDEX(rastreabilidade!$F:$H,0,MATCH(E$3,rastreabilidade!$F$1:$H$1,0)),rastreabilidade!$M:$M,$M36,rastreabilidade!$N:$N,$AM36),0))</f>
        <v>0</v>
      </c>
      <c r="F36" s="121">
        <f>IFERROR(SUMIFS(INDEX(rastreabilidade!$F:$H,0,MATCH(F$3,rastreabilidade!$F$1:$H$1,0)),rastreabilidade!$N:$N,$AM36),0)
+IF($N36="",0,IFERROR(SUMIFS(INDEX(rastreabilidade!$F:$H,0,MATCH(F$3,rastreabilidade!$F$1:$H$1,0)),rastreabilidade!$M:$M,$N36),0))
+IF($O36="",0,IFERROR(SUMIFS(INDEX(rastreabilidade!$F:$H,0,MATCH(F$3,rastreabilidade!$F$1:$H$1,0)),rastreabilidade!$M:$M,$O36),0))
+IF($P36="",0,IFERROR(SUMIFS(INDEX(rastreabilidade!$F:$H,0,MATCH(F$3,rastreabilidade!$F$1:$H$1,0)),rastreabilidade!$M:$M,$P36),0))
+IF($Q36="",0,IFERROR(SUMIFS(INDEX(rastreabilidade!$F:$H,0,MATCH(F$3,rastreabilidade!$F$1:$H$1,0)),rastreabilidade!$M:$M,$Q36),0))
-IF($J36="",0,IFERROR(SUMIFS(INDEX(rastreabilidade!$F:$H,0,MATCH(F$3,rastreabilidade!$F$1:$H$1,0)),rastreabilidade!$M:$M,$J36,rastreabilidade!$N:$N,$AM36),0))
-IF($K36="",0,IFERROR(SUMIFS(INDEX(rastreabilidade!$F:$H,0,MATCH(F$3,rastreabilidade!$F$1:$H$1,0)),rastreabilidade!$M:$M,$K36,rastreabilidade!$N:$N,$AM36),0))
-IF($L36="",0,IFERROR(SUMIFS(INDEX(rastreabilidade!$F:$H,0,MATCH(F$3,rastreabilidade!$F$1:$H$1,0)),rastreabilidade!$M:$M,$L36,rastreabilidade!$N:$N,$AM36),0))
-IF($M36="",0,IFERROR(SUMIFS(INDEX(rastreabilidade!$F:$H,0,MATCH(F$3,rastreabilidade!$F$1:$H$1,0)),rastreabilidade!$M:$M,$M36,rastreabilidade!$N:$N,$AM36),0))</f>
        <v>0</v>
      </c>
      <c r="G36" s="122">
        <f>IFERROR(SUMIFS(INDEX(rastreabilidade!$F:$H,0,MATCH(G$3,rastreabilidade!$F$1:$H$1,0)),rastreabilidade!$N:$N,$AM36),0)
+IF($N36="",0,IFERROR(SUMIFS(INDEX(rastreabilidade!$F:$H,0,MATCH(G$3,rastreabilidade!$F$1:$H$1,0)),rastreabilidade!$M:$M,$N36),0))
+IF($O36="",0,IFERROR(SUMIFS(INDEX(rastreabilidade!$F:$H,0,MATCH(G$3,rastreabilidade!$F$1:$H$1,0)),rastreabilidade!$M:$M,$O36),0))
+IF($P36="",0,IFERROR(SUMIFS(INDEX(rastreabilidade!$F:$H,0,MATCH(G$3,rastreabilidade!$F$1:$H$1,0)),rastreabilidade!$M:$M,$P36),0))
+IF($Q36="",0,IFERROR(SUMIFS(INDEX(rastreabilidade!$F:$H,0,MATCH(G$3,rastreabilidade!$F$1:$H$1,0)),rastreabilidade!$M:$M,$Q36),0))
-IF($J36="",0,IFERROR(SUMIFS(INDEX(rastreabilidade!$F:$H,0,MATCH(G$3,rastreabilidade!$F$1:$H$1,0)),rastreabilidade!$M:$M,$J36,rastreabilidade!$N:$N,$AM36),0))
-IF($K36="",0,IFERROR(SUMIFS(INDEX(rastreabilidade!$F:$H,0,MATCH(G$3,rastreabilidade!$F$1:$H$1,0)),rastreabilidade!$M:$M,$K36,rastreabilidade!$N:$N,$AM36),0))
-IF($L36="",0,IFERROR(SUMIFS(INDEX(rastreabilidade!$F:$H,0,MATCH(G$3,rastreabilidade!$F$1:$H$1,0)),rastreabilidade!$M:$M,$L36,rastreabilidade!$N:$N,$AM36),0))
-IF($M36="",0,IFERROR(SUMIFS(INDEX(rastreabilidade!$F:$H,0,MATCH(G$3,rastreabilidade!$F$1:$H$1,0)),rastreabilidade!$M:$M,$M36,rastreabilidade!$N:$N,$AM36),0))</f>
        <v>0</v>
      </c>
      <c r="H36" s="36"/>
      <c r="I36" s="155" t="str" cm="1">
        <f t="array" ref="I36">_xlfn.LET(
_xlpm.mem,H36,
_xlpm.retiradas,J36:M36,
_xlpm.adicoes,N36:Q36,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36" s="54"/>
      <c r="K36" s="54"/>
      <c r="L36" s="54"/>
      <c r="M36" s="54"/>
      <c r="N36" s="58"/>
      <c r="O36" s="58"/>
      <c r="P36" s="58"/>
      <c r="Q36" s="108"/>
      <c r="R36" s="4"/>
      <c r="S36" s="98" t="s">
        <v>82</v>
      </c>
      <c r="T36" s="20">
        <f>IFERROR(SUMIFS(INDEX(rastreabilidade!$F:$H,0,MATCH($T$2,rastreabilidade!$F$1:$H$1,0)),rastreabilidade!$K:$K,$S36,rastreabilidade!$D:$D,"Sim"),0)</f>
        <v>0</v>
      </c>
      <c r="U36" s="35"/>
      <c r="V36" s="4"/>
      <c r="W36" s="165">
        <f>IFERROR(SUMIFS(INDEX(rastreabilidade!$F:$H,0,MATCH(W$3,rastreabilidade!$F$1:$H$1,0)),rastreabilidade!$N:$N,$AN36),0)*IF($AB36="sim",-1,1)
+IF($AG36="",0,IFERROR(SUMIFS(INDEX(rastreabilidade!$F:$H,0,MATCH(W$3,rastreabilidade!$F$1:$H$1,0)),rastreabilidade!$M:$M,$AG36),0))
+IF($AH36="",0,IFERROR(SUMIFS(INDEX(rastreabilidade!$F:$H,0,MATCH(W$3,rastreabilidade!$F$1:$H$1,0)),rastreabilidade!$M:$M,$AH36),0))
+IF($AI36="",0,IFERROR(SUMIFS(INDEX(rastreabilidade!$F:$H,0,MATCH(W$3,rastreabilidade!$F$1:$H$1,0)),rastreabilidade!$M:$M,$AI36),0))
+IF($AJ36="",0,IFERROR(SUMIFS(INDEX(rastreabilidade!$F:$H,0,MATCH(W$3,rastreabilidade!$F$1:$H$1,0)),rastreabilidade!$M:$M,$AJ36),0))
-IF($AC36="",0,IFERROR(SUMIFS(INDEX(rastreabilidade!$F:$H,0,MATCH(W$3,rastreabilidade!$F$1:$H$1,0)),rastreabilidade!$M:$M,$AC36,rastreabilidade!$N:$N,$AN36),0))
-IF($AD36="",0,IFERROR(SUMIFS(INDEX(rastreabilidade!$F:$H,0,MATCH(W$3,rastreabilidade!$F$1:$H$1,0)),rastreabilidade!$M:$M,$AD36,rastreabilidade!$N:$N,$AN36),0))
-IF($AE36="",0,IFERROR(SUMIFS(INDEX(rastreabilidade!$F:$H,0,MATCH(W$3,rastreabilidade!$F$1:$H$1,0)),rastreabilidade!$M:$M,$AE36,rastreabilidade!$N:$N,$AN36),0))
-IF($AF36="",0,IFERROR(SUMIFS(INDEX(rastreabilidade!$F:$H,0,MATCH(W$3,rastreabilidade!$F$1:$H$1,0)),rastreabilidade!$M:$M,$AF36,rastreabilidade!$N:$N,$AN36),0))</f>
        <v>0</v>
      </c>
      <c r="X36" s="165">
        <f>IFERROR(SUMIFS(INDEX(rastreabilidade!$F:$H,0,MATCH(X$3,rastreabilidade!$F$1:$H$1,0)),rastreabilidade!$N:$N,$AN36),0)*IF($AB36="sim",-1,1)
+IF($AG36="",0,IFERROR(SUMIFS(INDEX(rastreabilidade!$F:$H,0,MATCH(X$3,rastreabilidade!$F$1:$H$1,0)),rastreabilidade!$M:$M,$AG36),0))
+IF($AH36="",0,IFERROR(SUMIFS(INDEX(rastreabilidade!$F:$H,0,MATCH(X$3,rastreabilidade!$F$1:$H$1,0)),rastreabilidade!$M:$M,$AH36),0))
+IF($AI36="",0,IFERROR(SUMIFS(INDEX(rastreabilidade!$F:$H,0,MATCH(X$3,rastreabilidade!$F$1:$H$1,0)),rastreabilidade!$M:$M,$AI36),0))
+IF($AJ36="",0,IFERROR(SUMIFS(INDEX(rastreabilidade!$F:$H,0,MATCH(X$3,rastreabilidade!$F$1:$H$1,0)),rastreabilidade!$M:$M,$AJ36),0))
-IF($AC36="",0,IFERROR(SUMIFS(INDEX(rastreabilidade!$F:$H,0,MATCH(X$3,rastreabilidade!$F$1:$H$1,0)),rastreabilidade!$M:$M,$AC36,rastreabilidade!$N:$N,$AN36),0))
-IF($AD36="",0,IFERROR(SUMIFS(INDEX(rastreabilidade!$F:$H,0,MATCH(X$3,rastreabilidade!$F$1:$H$1,0)),rastreabilidade!$M:$M,$AD36,rastreabilidade!$N:$N,$AN36),0))
-IF($AE36="",0,IFERROR(SUMIFS(INDEX(rastreabilidade!$F:$H,0,MATCH(X$3,rastreabilidade!$F$1:$H$1,0)),rastreabilidade!$M:$M,$AE36,rastreabilidade!$N:$N,$AN36),0))
-IF($AF36="",0,IFERROR(SUMIFS(INDEX(rastreabilidade!$F:$H,0,MATCH(X$3,rastreabilidade!$F$1:$H$1,0)),rastreabilidade!$M:$M,$AF36,rastreabilidade!$N:$N,$AN36),0))</f>
        <v>0</v>
      </c>
      <c r="Y36" s="165">
        <f>IFERROR(SUMIFS(INDEX(rastreabilidade!$F:$H,0,MATCH(Y$3,rastreabilidade!$F$1:$H$1,0)),rastreabilidade!$N:$N,$AN36),0)*IF($AB36="sim",-1,1)
+IF($AG36="",0,IFERROR(SUMIFS(INDEX(rastreabilidade!$F:$H,0,MATCH(Y$3,rastreabilidade!$F$1:$H$1,0)),rastreabilidade!$M:$M,$AG36),0))
+IF($AH36="",0,IFERROR(SUMIFS(INDEX(rastreabilidade!$F:$H,0,MATCH(Y$3,rastreabilidade!$F$1:$H$1,0)),rastreabilidade!$M:$M,$AH36),0))
+IF($AI36="",0,IFERROR(SUMIFS(INDEX(rastreabilidade!$F:$H,0,MATCH(Y$3,rastreabilidade!$F$1:$H$1,0)),rastreabilidade!$M:$M,$AI36),0))
+IF($AJ36="",0,IFERROR(SUMIFS(INDEX(rastreabilidade!$F:$H,0,MATCH(Y$3,rastreabilidade!$F$1:$H$1,0)),rastreabilidade!$M:$M,$AJ36),0))
-IF($AC36="",0,IFERROR(SUMIFS(INDEX(rastreabilidade!$F:$H,0,MATCH(Y$3,rastreabilidade!$F$1:$H$1,0)),rastreabilidade!$M:$M,$AC36,rastreabilidade!$N:$N,$AN36),0))
-IF($AD36="",0,IFERROR(SUMIFS(INDEX(rastreabilidade!$F:$H,0,MATCH(Y$3,rastreabilidade!$F$1:$H$1,0)),rastreabilidade!$M:$M,$AD36,rastreabilidade!$N:$N,$AN36),0))
-IF($AE36="",0,IFERROR(SUMIFS(INDEX(rastreabilidade!$F:$H,0,MATCH(Y$3,rastreabilidade!$F$1:$H$1,0)),rastreabilidade!$M:$M,$AE36,rastreabilidade!$N:$N,$AN36),0))
-IF($AF36="",0,IFERROR(SUMIFS(INDEX(rastreabilidade!$F:$H,0,MATCH(Y$3,rastreabilidade!$F$1:$H$1,0)),rastreabilidade!$M:$M,$AF36,rastreabilidade!$N:$N,$AN36),0))</f>
        <v>0</v>
      </c>
      <c r="Z36" s="47"/>
      <c r="AA36" s="177" t="str" cm="1">
        <f t="array" ref="AA36">_xlfn.LET(
_xlpm.mem,Z36,
_xlpm.retiradas,AC36:AF36,
_xlpm.adicoes,AG36:AJ36,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36" s="114"/>
      <c r="AC36" s="54"/>
      <c r="AD36" s="54"/>
      <c r="AE36" s="54"/>
      <c r="AF36" s="54"/>
      <c r="AG36" s="58"/>
      <c r="AH36" s="58"/>
      <c r="AI36" s="58"/>
      <c r="AJ36" s="108"/>
      <c r="AL36" s="5"/>
      <c r="AM36" s="5" t="str">
        <f t="shared" si="2"/>
        <v>-Depreciação Acumulada|Ativo|Não Circulante</v>
      </c>
      <c r="AN36" s="5" t="str">
        <f t="shared" si="1"/>
        <v>+/- Resultados Abrangentes|DRE|DRE</v>
      </c>
      <c r="AO36" s="5"/>
      <c r="AP36" s="5"/>
      <c r="AQ36" s="6"/>
      <c r="AR36" s="7"/>
      <c r="AS36" s="7"/>
      <c r="AT36" s="7"/>
    </row>
    <row r="37" spans="1:46" ht="35.1" customHeight="1" x14ac:dyDescent="0.25">
      <c r="A37" s="79" t="s">
        <v>83</v>
      </c>
      <c r="B37" s="123">
        <f>+B34+B35-B36</f>
        <v>0</v>
      </c>
      <c r="C37" s="39"/>
      <c r="D37" s="4"/>
      <c r="E37" s="123">
        <f>+E34+E35-E36</f>
        <v>0</v>
      </c>
      <c r="F37" s="123">
        <f>+F34+F35-F36</f>
        <v>0</v>
      </c>
      <c r="G37" s="124">
        <f>+G34+G35-G36</f>
        <v>0</v>
      </c>
      <c r="H37" s="41"/>
      <c r="I37" s="39"/>
      <c r="J37" s="41">
        <f>+J34+J35-J36</f>
        <v>0</v>
      </c>
      <c r="K37" s="41"/>
      <c r="L37" s="41"/>
      <c r="M37" s="41"/>
      <c r="N37" s="41"/>
      <c r="O37" s="41"/>
      <c r="P37" s="41"/>
      <c r="Q37" s="110">
        <f>+Q34+Q35-Q36</f>
        <v>0</v>
      </c>
      <c r="R37" s="4"/>
      <c r="S37" s="90" t="s">
        <v>84</v>
      </c>
      <c r="T37" s="175">
        <f>T35+T36</f>
        <v>0</v>
      </c>
      <c r="U37" s="105"/>
      <c r="V37" s="4"/>
      <c r="W37" s="176">
        <f>W35+W36</f>
        <v>0</v>
      </c>
      <c r="X37" s="176">
        <f>X35+X36</f>
        <v>0</v>
      </c>
      <c r="Y37" s="176">
        <f>Y35+Y36</f>
        <v>0</v>
      </c>
      <c r="Z37" s="60"/>
      <c r="AA37" s="105"/>
      <c r="AB37" s="115"/>
      <c r="AC37" s="105"/>
      <c r="AD37" s="105"/>
      <c r="AE37" s="105"/>
      <c r="AF37" s="105"/>
      <c r="AG37" s="105"/>
      <c r="AH37" s="105"/>
      <c r="AI37" s="105"/>
      <c r="AJ37" s="105"/>
      <c r="AL37" s="5"/>
      <c r="AM37" s="5" t="str">
        <f t="shared" si="2"/>
        <v>Imobilizado líquido|Ativo|Não Circulante</v>
      </c>
      <c r="AN37" s="5" t="str">
        <f t="shared" si="1"/>
        <v>Lucro Líquido+Resultado Abrangente a Distribuir|DRE|DRE</v>
      </c>
      <c r="AO37" s="5"/>
      <c r="AP37" s="5"/>
      <c r="AQ37" s="6"/>
      <c r="AR37" s="7"/>
      <c r="AS37" s="7"/>
      <c r="AT37" s="7"/>
    </row>
    <row r="38" spans="1:46" ht="35.1" customHeight="1" x14ac:dyDescent="0.25">
      <c r="A38" s="78" t="s">
        <v>85</v>
      </c>
      <c r="B38" s="131">
        <f>IFERROR(SUMIFS(INDEX(rastreabilidade!$F:$H,0,MATCH($B$2,rastreabilidade!$F$1:$H$1,0)),rastreabilidade!$K:$K,$A38,rastreabilidade!$D:$D,"Sim"),0)</f>
        <v>0</v>
      </c>
      <c r="C38" s="35"/>
      <c r="D38" s="4"/>
      <c r="E38" s="131">
        <f>IFERROR(SUMIFS(INDEX(rastreabilidade!$F:$H,0,MATCH(E$3,rastreabilidade!$F$1:$H$1,0)),rastreabilidade!$N:$N,$AM38),0)
+IF($N38="",0,IFERROR(SUMIFS(INDEX(rastreabilidade!$F:$H,0,MATCH(E$3,rastreabilidade!$F$1:$H$1,0)),rastreabilidade!$M:$M,$N38),0))
+IF($O38="",0,IFERROR(SUMIFS(INDEX(rastreabilidade!$F:$H,0,MATCH(E$3,rastreabilidade!$F$1:$H$1,0)),rastreabilidade!$M:$M,$O38),0))
+IF($P38="",0,IFERROR(SUMIFS(INDEX(rastreabilidade!$F:$H,0,MATCH(E$3,rastreabilidade!$F$1:$H$1,0)),rastreabilidade!$M:$M,$P38),0))
+IF($Q38="",0,IFERROR(SUMIFS(INDEX(rastreabilidade!$F:$H,0,MATCH(E$3,rastreabilidade!$F$1:$H$1,0)),rastreabilidade!$M:$M,$Q38),0))
-IF($J38="",0,IFERROR(SUMIFS(INDEX(rastreabilidade!$F:$H,0,MATCH(E$3,rastreabilidade!$F$1:$H$1,0)),rastreabilidade!$M:$M,$J38,rastreabilidade!$N:$N,$AM38),0))
-IF($K38="",0,IFERROR(SUMIFS(INDEX(rastreabilidade!$F:$H,0,MATCH(E$3,rastreabilidade!$F$1:$H$1,0)),rastreabilidade!$M:$M,$K38,rastreabilidade!$N:$N,$AM38),0))
-IF($L38="",0,IFERROR(SUMIFS(INDEX(rastreabilidade!$F:$H,0,MATCH(E$3,rastreabilidade!$F$1:$H$1,0)),rastreabilidade!$M:$M,$L38,rastreabilidade!$N:$N,$AM38),0))
-IF($M38="",0,IFERROR(SUMIFS(INDEX(rastreabilidade!$F:$H,0,MATCH(E$3,rastreabilidade!$F$1:$H$1,0)),rastreabilidade!$M:$M,$M38,rastreabilidade!$N:$N,$AM38),0))</f>
        <v>0</v>
      </c>
      <c r="F38" s="131">
        <f>IFERROR(SUMIFS(INDEX(rastreabilidade!$F:$H,0,MATCH(F$3,rastreabilidade!$F$1:$H$1,0)),rastreabilidade!$N:$N,$AM38),0)
+IF($N38="",0,IFERROR(SUMIFS(INDEX(rastreabilidade!$F:$H,0,MATCH(F$3,rastreabilidade!$F$1:$H$1,0)),rastreabilidade!$M:$M,$N38),0))
+IF($O38="",0,IFERROR(SUMIFS(INDEX(rastreabilidade!$F:$H,0,MATCH(F$3,rastreabilidade!$F$1:$H$1,0)),rastreabilidade!$M:$M,$O38),0))
+IF($P38="",0,IFERROR(SUMIFS(INDEX(rastreabilidade!$F:$H,0,MATCH(F$3,rastreabilidade!$F$1:$H$1,0)),rastreabilidade!$M:$M,$P38),0))
+IF($Q38="",0,IFERROR(SUMIFS(INDEX(rastreabilidade!$F:$H,0,MATCH(F$3,rastreabilidade!$F$1:$H$1,0)),rastreabilidade!$M:$M,$Q38),0))
-IF($J38="",0,IFERROR(SUMIFS(INDEX(rastreabilidade!$F:$H,0,MATCH(F$3,rastreabilidade!$F$1:$H$1,0)),rastreabilidade!$M:$M,$J38,rastreabilidade!$N:$N,$AM38),0))
-IF($K38="",0,IFERROR(SUMIFS(INDEX(rastreabilidade!$F:$H,0,MATCH(F$3,rastreabilidade!$F$1:$H$1,0)),rastreabilidade!$M:$M,$K38,rastreabilidade!$N:$N,$AM38),0))
-IF($L38="",0,IFERROR(SUMIFS(INDEX(rastreabilidade!$F:$H,0,MATCH(F$3,rastreabilidade!$F$1:$H$1,0)),rastreabilidade!$M:$M,$L38,rastreabilidade!$N:$N,$AM38),0))
-IF($M38="",0,IFERROR(SUMIFS(INDEX(rastreabilidade!$F:$H,0,MATCH(F$3,rastreabilidade!$F$1:$H$1,0)),rastreabilidade!$M:$M,$M38,rastreabilidade!$N:$N,$AM38),0))</f>
        <v>0</v>
      </c>
      <c r="G38" s="132">
        <f>IFERROR(SUMIFS(INDEX(rastreabilidade!$F:$H,0,MATCH(G$3,rastreabilidade!$F$1:$H$1,0)),rastreabilidade!$N:$N,$AM38),0)
+IF($N38="",0,IFERROR(SUMIFS(INDEX(rastreabilidade!$F:$H,0,MATCH(G$3,rastreabilidade!$F$1:$H$1,0)),rastreabilidade!$M:$M,$N38),0))
+IF($O38="",0,IFERROR(SUMIFS(INDEX(rastreabilidade!$F:$H,0,MATCH(G$3,rastreabilidade!$F$1:$H$1,0)),rastreabilidade!$M:$M,$O38),0))
+IF($P38="",0,IFERROR(SUMIFS(INDEX(rastreabilidade!$F:$H,0,MATCH(G$3,rastreabilidade!$F$1:$H$1,0)),rastreabilidade!$M:$M,$P38),0))
+IF($Q38="",0,IFERROR(SUMIFS(INDEX(rastreabilidade!$F:$H,0,MATCH(G$3,rastreabilidade!$F$1:$H$1,0)),rastreabilidade!$M:$M,$Q38),0))
-IF($J38="",0,IFERROR(SUMIFS(INDEX(rastreabilidade!$F:$H,0,MATCH(G$3,rastreabilidade!$F$1:$H$1,0)),rastreabilidade!$M:$M,$J38,rastreabilidade!$N:$N,$AM38),0))
-IF($K38="",0,IFERROR(SUMIFS(INDEX(rastreabilidade!$F:$H,0,MATCH(G$3,rastreabilidade!$F$1:$H$1,0)),rastreabilidade!$M:$M,$K38,rastreabilidade!$N:$N,$AM38),0))
-IF($L38="",0,IFERROR(SUMIFS(INDEX(rastreabilidade!$F:$H,0,MATCH(G$3,rastreabilidade!$F$1:$H$1,0)),rastreabilidade!$M:$M,$L38,rastreabilidade!$N:$N,$AM38),0))
-IF($M38="",0,IFERROR(SUMIFS(INDEX(rastreabilidade!$F:$H,0,MATCH(G$3,rastreabilidade!$F$1:$H$1,0)),rastreabilidade!$M:$M,$M38,rastreabilidade!$N:$N,$AM38),0))</f>
        <v>0</v>
      </c>
      <c r="H38" s="36"/>
      <c r="I38" s="155" t="str" cm="1">
        <f t="array" ref="I38">_xlfn.LET(
_xlpm.mem,H38,
_xlpm.retiradas,J38:M38,
_xlpm.adicoes,N38:Q38,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38" s="54"/>
      <c r="K38" s="54"/>
      <c r="L38" s="54"/>
      <c r="M38" s="54"/>
      <c r="N38" s="58"/>
      <c r="O38" s="58"/>
      <c r="P38" s="58"/>
      <c r="Q38" s="108"/>
      <c r="R38" s="4"/>
      <c r="S38" s="167"/>
      <c r="T38" s="168"/>
      <c r="U38" s="169"/>
      <c r="V38" s="4"/>
      <c r="W38" s="170"/>
      <c r="X38" s="170"/>
      <c r="Y38" s="170"/>
      <c r="Z38" s="171"/>
      <c r="AA38" s="169"/>
      <c r="AB38" s="172"/>
      <c r="AC38" s="169"/>
      <c r="AD38" s="169"/>
      <c r="AE38" s="169"/>
      <c r="AF38" s="169"/>
      <c r="AG38" s="169"/>
      <c r="AH38" s="169"/>
      <c r="AI38" s="169"/>
      <c r="AJ38" s="169"/>
      <c r="AL38" s="5"/>
      <c r="AM38" s="5" t="str">
        <f t="shared" si="2"/>
        <v>Investimentos|Ativo|Não Circulante</v>
      </c>
      <c r="AN38" s="5" t="str">
        <f t="shared" si="1"/>
        <v>|DRE|DRE</v>
      </c>
      <c r="AO38" s="5"/>
      <c r="AP38" s="5"/>
      <c r="AQ38" s="6"/>
      <c r="AR38" s="7"/>
      <c r="AS38" s="7"/>
      <c r="AT38" s="7"/>
    </row>
    <row r="39" spans="1:46" ht="35.1" customHeight="1" x14ac:dyDescent="0.25">
      <c r="A39" s="78" t="s">
        <v>86</v>
      </c>
      <c r="B39" s="131">
        <f>IFERROR(SUMIFS(INDEX(rastreabilidade!$F:$H,0,MATCH($B$2,rastreabilidade!$F$1:$H$1,0)),rastreabilidade!$K:$K,$A39,rastreabilidade!$D:$D,"Sim"),0)</f>
        <v>0</v>
      </c>
      <c r="C39" s="35"/>
      <c r="D39" s="4"/>
      <c r="E39" s="131">
        <f>IFERROR(SUMIFS(INDEX(rastreabilidade!$F:$H,0,MATCH(E$3,rastreabilidade!$F$1:$H$1,0)),rastreabilidade!$N:$N,$AM39),0)
+IF($N39="",0,IFERROR(SUMIFS(INDEX(rastreabilidade!$F:$H,0,MATCH(E$3,rastreabilidade!$F$1:$H$1,0)),rastreabilidade!$M:$M,$N39),0))
+IF($O39="",0,IFERROR(SUMIFS(INDEX(rastreabilidade!$F:$H,0,MATCH(E$3,rastreabilidade!$F$1:$H$1,0)),rastreabilidade!$M:$M,$O39),0))
+IF($P39="",0,IFERROR(SUMIFS(INDEX(rastreabilidade!$F:$H,0,MATCH(E$3,rastreabilidade!$F$1:$H$1,0)),rastreabilidade!$M:$M,$P39),0))
+IF($Q39="",0,IFERROR(SUMIFS(INDEX(rastreabilidade!$F:$H,0,MATCH(E$3,rastreabilidade!$F$1:$H$1,0)),rastreabilidade!$M:$M,$Q39),0))
-IF($J39="",0,IFERROR(SUMIFS(INDEX(rastreabilidade!$F:$H,0,MATCH(E$3,rastreabilidade!$F$1:$H$1,0)),rastreabilidade!$M:$M,$J39,rastreabilidade!$N:$N,$AM39),0))
-IF($K39="",0,IFERROR(SUMIFS(INDEX(rastreabilidade!$F:$H,0,MATCH(E$3,rastreabilidade!$F$1:$H$1,0)),rastreabilidade!$M:$M,$K39,rastreabilidade!$N:$N,$AM39),0))
-IF($L39="",0,IFERROR(SUMIFS(INDEX(rastreabilidade!$F:$H,0,MATCH(E$3,rastreabilidade!$F$1:$H$1,0)),rastreabilidade!$M:$M,$L39,rastreabilidade!$N:$N,$AM39),0))
-IF($M39="",0,IFERROR(SUMIFS(INDEX(rastreabilidade!$F:$H,0,MATCH(E$3,rastreabilidade!$F$1:$H$1,0)),rastreabilidade!$M:$M,$M39,rastreabilidade!$N:$N,$AM39),0))</f>
        <v>0</v>
      </c>
      <c r="F39" s="131">
        <f>IFERROR(SUMIFS(INDEX(rastreabilidade!$F:$H,0,MATCH(F$3,rastreabilidade!$F$1:$H$1,0)),rastreabilidade!$N:$N,$AM39),0)
+IF($N39="",0,IFERROR(SUMIFS(INDEX(rastreabilidade!$F:$H,0,MATCH(F$3,rastreabilidade!$F$1:$H$1,0)),rastreabilidade!$M:$M,$N39),0))
+IF($O39="",0,IFERROR(SUMIFS(INDEX(rastreabilidade!$F:$H,0,MATCH(F$3,rastreabilidade!$F$1:$H$1,0)),rastreabilidade!$M:$M,$O39),0))
+IF($P39="",0,IFERROR(SUMIFS(INDEX(rastreabilidade!$F:$H,0,MATCH(F$3,rastreabilidade!$F$1:$H$1,0)),rastreabilidade!$M:$M,$P39),0))
+IF($Q39="",0,IFERROR(SUMIFS(INDEX(rastreabilidade!$F:$H,0,MATCH(F$3,rastreabilidade!$F$1:$H$1,0)),rastreabilidade!$M:$M,$Q39),0))
-IF($J39="",0,IFERROR(SUMIFS(INDEX(rastreabilidade!$F:$H,0,MATCH(F$3,rastreabilidade!$F$1:$H$1,0)),rastreabilidade!$M:$M,$J39,rastreabilidade!$N:$N,$AM39),0))
-IF($K39="",0,IFERROR(SUMIFS(INDEX(rastreabilidade!$F:$H,0,MATCH(F$3,rastreabilidade!$F$1:$H$1,0)),rastreabilidade!$M:$M,$K39,rastreabilidade!$N:$N,$AM39),0))
-IF($L39="",0,IFERROR(SUMIFS(INDEX(rastreabilidade!$F:$H,0,MATCH(F$3,rastreabilidade!$F$1:$H$1,0)),rastreabilidade!$M:$M,$L39,rastreabilidade!$N:$N,$AM39),0))
-IF($M39="",0,IFERROR(SUMIFS(INDEX(rastreabilidade!$F:$H,0,MATCH(F$3,rastreabilidade!$F$1:$H$1,0)),rastreabilidade!$M:$M,$M39,rastreabilidade!$N:$N,$AM39),0))</f>
        <v>0</v>
      </c>
      <c r="G39" s="132">
        <f>IFERROR(SUMIFS(INDEX(rastreabilidade!$F:$H,0,MATCH(G$3,rastreabilidade!$F$1:$H$1,0)),rastreabilidade!$N:$N,$AM39),0)
+IF($N39="",0,IFERROR(SUMIFS(INDEX(rastreabilidade!$F:$H,0,MATCH(G$3,rastreabilidade!$F$1:$H$1,0)),rastreabilidade!$M:$M,$N39),0))
+IF($O39="",0,IFERROR(SUMIFS(INDEX(rastreabilidade!$F:$H,0,MATCH(G$3,rastreabilidade!$F$1:$H$1,0)),rastreabilidade!$M:$M,$O39),0))
+IF($P39="",0,IFERROR(SUMIFS(INDEX(rastreabilidade!$F:$H,0,MATCH(G$3,rastreabilidade!$F$1:$H$1,0)),rastreabilidade!$M:$M,$P39),0))
+IF($Q39="",0,IFERROR(SUMIFS(INDEX(rastreabilidade!$F:$H,0,MATCH(G$3,rastreabilidade!$F$1:$H$1,0)),rastreabilidade!$M:$M,$Q39),0))
-IF($J39="",0,IFERROR(SUMIFS(INDEX(rastreabilidade!$F:$H,0,MATCH(G$3,rastreabilidade!$F$1:$H$1,0)),rastreabilidade!$M:$M,$J39,rastreabilidade!$N:$N,$AM39),0))
-IF($K39="",0,IFERROR(SUMIFS(INDEX(rastreabilidade!$F:$H,0,MATCH(G$3,rastreabilidade!$F$1:$H$1,0)),rastreabilidade!$M:$M,$K39,rastreabilidade!$N:$N,$AM39),0))
-IF($L39="",0,IFERROR(SUMIFS(INDEX(rastreabilidade!$F:$H,0,MATCH(G$3,rastreabilidade!$F$1:$H$1,0)),rastreabilidade!$M:$M,$L39,rastreabilidade!$N:$N,$AM39),0))
-IF($M39="",0,IFERROR(SUMIFS(INDEX(rastreabilidade!$F:$H,0,MATCH(G$3,rastreabilidade!$F$1:$H$1,0)),rastreabilidade!$M:$M,$M39,rastreabilidade!$N:$N,$AM39),0))</f>
        <v>0</v>
      </c>
      <c r="H39" s="36"/>
      <c r="I39" s="155" t="str" cm="1">
        <f t="array" ref="I39">_xlfn.LET(
_xlpm.mem,H39,
_xlpm.retiradas,J39:M39,
_xlpm.adicoes,N39:Q39,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39" s="54"/>
      <c r="K39" s="54"/>
      <c r="L39" s="54"/>
      <c r="M39" s="54"/>
      <c r="N39" s="58"/>
      <c r="O39" s="58"/>
      <c r="P39" s="58"/>
      <c r="Q39" s="108"/>
      <c r="R39" s="4"/>
      <c r="S39" s="97" t="s">
        <v>87</v>
      </c>
      <c r="T39" s="11">
        <f>IFERROR(SUMIFS(INDEX(rastreabilidade!$F:$H,0,MATCH($T$2,rastreabilidade!$F$1:$H$1,0)),rastreabilidade!$K:$K,$S39,rastreabilidade!$D:$D,"Sim"),0)</f>
        <v>0</v>
      </c>
      <c r="U39" s="173"/>
      <c r="V39" s="4"/>
      <c r="W39" s="156">
        <f>IFERROR(SUMIFS(INDEX(rastreabilidade!$F:$H,0,MATCH(W$3,rastreabilidade!$F$1:$H$1,0)),rastreabilidade!$N:$N,$AN39),0)*IF($AB39="sim",-1,1)
+IF($AG39="",0,IFERROR(SUMIFS(INDEX(rastreabilidade!$F:$H,0,MATCH(W$3,rastreabilidade!$F$1:$H$1,0)),rastreabilidade!$M:$M,$AG39),0))
+IF($AH39="",0,IFERROR(SUMIFS(INDEX(rastreabilidade!$F:$H,0,MATCH(W$3,rastreabilidade!$F$1:$H$1,0)),rastreabilidade!$M:$M,$AH39),0))
+IF($AI39="",0,IFERROR(SUMIFS(INDEX(rastreabilidade!$F:$H,0,MATCH(W$3,rastreabilidade!$F$1:$H$1,0)),rastreabilidade!$M:$M,$AI39),0))
+IF($AJ39="",0,IFERROR(SUMIFS(INDEX(rastreabilidade!$F:$H,0,MATCH(W$3,rastreabilidade!$F$1:$H$1,0)),rastreabilidade!$M:$M,$AJ39),0))
-IF($AC39="",0,IFERROR(SUMIFS(INDEX(rastreabilidade!$F:$H,0,MATCH(W$3,rastreabilidade!$F$1:$H$1,0)),rastreabilidade!$M:$M,$AC39,rastreabilidade!$N:$N,$AN39),0))
-IF($AD39="",0,IFERROR(SUMIFS(INDEX(rastreabilidade!$F:$H,0,MATCH(W$3,rastreabilidade!$F$1:$H$1,0)),rastreabilidade!$M:$M,$AD39,rastreabilidade!$N:$N,$AN39),0))
-IF($AE39="",0,IFERROR(SUMIFS(INDEX(rastreabilidade!$F:$H,0,MATCH(W$3,rastreabilidade!$F$1:$H$1,0)),rastreabilidade!$M:$M,$AE39,rastreabilidade!$N:$N,$AN39),0))
-IF($AF39="",0,IFERROR(SUMIFS(INDEX(rastreabilidade!$F:$H,0,MATCH(W$3,rastreabilidade!$F$1:$H$1,0)),rastreabilidade!$M:$M,$AF39,rastreabilidade!$N:$N,$AN39),0))</f>
        <v>0</v>
      </c>
      <c r="X39" s="156">
        <f>IFERROR(SUMIFS(INDEX(rastreabilidade!$F:$H,0,MATCH(X$3,rastreabilidade!$F$1:$H$1,0)),rastreabilidade!$N:$N,$AN39),0)*IF($AB39="sim",-1,1)
+IF($AG39="",0,IFERROR(SUMIFS(INDEX(rastreabilidade!$F:$H,0,MATCH(X$3,rastreabilidade!$F$1:$H$1,0)),rastreabilidade!$M:$M,$AG39),0))
+IF($AH39="",0,IFERROR(SUMIFS(INDEX(rastreabilidade!$F:$H,0,MATCH(X$3,rastreabilidade!$F$1:$H$1,0)),rastreabilidade!$M:$M,$AH39),0))
+IF($AI39="",0,IFERROR(SUMIFS(INDEX(rastreabilidade!$F:$H,0,MATCH(X$3,rastreabilidade!$F$1:$H$1,0)),rastreabilidade!$M:$M,$AI39),0))
+IF($AJ39="",0,IFERROR(SUMIFS(INDEX(rastreabilidade!$F:$H,0,MATCH(X$3,rastreabilidade!$F$1:$H$1,0)),rastreabilidade!$M:$M,$AJ39),0))
-IF($AC39="",0,IFERROR(SUMIFS(INDEX(rastreabilidade!$F:$H,0,MATCH(X$3,rastreabilidade!$F$1:$H$1,0)),rastreabilidade!$M:$M,$AC39,rastreabilidade!$N:$N,$AN39),0))
-IF($AD39="",0,IFERROR(SUMIFS(INDEX(rastreabilidade!$F:$H,0,MATCH(X$3,rastreabilidade!$F$1:$H$1,0)),rastreabilidade!$M:$M,$AD39,rastreabilidade!$N:$N,$AN39),0))
-IF($AE39="",0,IFERROR(SUMIFS(INDEX(rastreabilidade!$F:$H,0,MATCH(X$3,rastreabilidade!$F$1:$H$1,0)),rastreabilidade!$M:$M,$AE39,rastreabilidade!$N:$N,$AN39),0))
-IF($AF39="",0,IFERROR(SUMIFS(INDEX(rastreabilidade!$F:$H,0,MATCH(X$3,rastreabilidade!$F$1:$H$1,0)),rastreabilidade!$M:$M,$AF39,rastreabilidade!$N:$N,$AN39),0))</f>
        <v>0</v>
      </c>
      <c r="Y39" s="156">
        <f>IFERROR(SUMIFS(INDEX(rastreabilidade!$F:$H,0,MATCH(Y$3,rastreabilidade!$F$1:$H$1,0)),rastreabilidade!$N:$N,$AN39),0)*IF($AB39="sim",-1,1)
+IF($AG39="",0,IFERROR(SUMIFS(INDEX(rastreabilidade!$F:$H,0,MATCH(Y$3,rastreabilidade!$F$1:$H$1,0)),rastreabilidade!$M:$M,$AG39),0))
+IF($AH39="",0,IFERROR(SUMIFS(INDEX(rastreabilidade!$F:$H,0,MATCH(Y$3,rastreabilidade!$F$1:$H$1,0)),rastreabilidade!$M:$M,$AH39),0))
+IF($AI39="",0,IFERROR(SUMIFS(INDEX(rastreabilidade!$F:$H,0,MATCH(Y$3,rastreabilidade!$F$1:$H$1,0)),rastreabilidade!$M:$M,$AI39),0))
+IF($AJ39="",0,IFERROR(SUMIFS(INDEX(rastreabilidade!$F:$H,0,MATCH(Y$3,rastreabilidade!$F$1:$H$1,0)),rastreabilidade!$M:$M,$AJ39),0))
-IF($AC39="",0,IFERROR(SUMIFS(INDEX(rastreabilidade!$F:$H,0,MATCH(Y$3,rastreabilidade!$F$1:$H$1,0)),rastreabilidade!$M:$M,$AC39,rastreabilidade!$N:$N,$AN39),0))
-IF($AD39="",0,IFERROR(SUMIFS(INDEX(rastreabilidade!$F:$H,0,MATCH(Y$3,rastreabilidade!$F$1:$H$1,0)),rastreabilidade!$M:$M,$AD39,rastreabilidade!$N:$N,$AN39),0))
-IF($AE39="",0,IFERROR(SUMIFS(INDEX(rastreabilidade!$F:$H,0,MATCH(Y$3,rastreabilidade!$F$1:$H$1,0)),rastreabilidade!$M:$M,$AE39,rastreabilidade!$N:$N,$AN39),0))
-IF($AF39="",0,IFERROR(SUMIFS(INDEX(rastreabilidade!$F:$H,0,MATCH(Y$3,rastreabilidade!$F$1:$H$1,0)),rastreabilidade!$M:$M,$AF39,rastreabilidade!$N:$N,$AN39),0))</f>
        <v>0</v>
      </c>
      <c r="Z39" s="34"/>
      <c r="AA39" s="178" t="str" cm="1">
        <f t="array" ref="AA39">_xlfn.LET(
_xlpm.mem,Z39,
_xlpm.retiradas,AC39:AF39,
_xlpm.adicoes,AG39:AJ39,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39" s="114"/>
      <c r="AC39" s="174"/>
      <c r="AD39" s="174"/>
      <c r="AE39" s="174"/>
      <c r="AF39" s="174"/>
      <c r="AG39" s="108"/>
      <c r="AH39" s="108"/>
      <c r="AI39" s="108"/>
      <c r="AJ39" s="108"/>
      <c r="AL39" s="5"/>
      <c r="AM39" s="5" t="str">
        <f t="shared" si="2"/>
        <v>Outros Ativos Intangiveis / Goodwill|Ativo|Não Circulante</v>
      </c>
      <c r="AN39" s="5" t="str">
        <f t="shared" si="1"/>
        <v>- Dividendos|DRE|DRE</v>
      </c>
      <c r="AO39" s="5"/>
      <c r="AP39" s="5"/>
      <c r="AQ39" s="6"/>
      <c r="AR39" s="7"/>
      <c r="AS39" s="7"/>
      <c r="AT39" s="7"/>
    </row>
    <row r="40" spans="1:46" ht="35.1" customHeight="1" x14ac:dyDescent="0.25">
      <c r="A40" s="82" t="s">
        <v>88</v>
      </c>
      <c r="B40" s="129">
        <f>SUM(B37:B39,B33)</f>
        <v>0</v>
      </c>
      <c r="C40" s="39"/>
      <c r="D40" s="4"/>
      <c r="E40" s="129">
        <f>SUM(E37:E39,E33)</f>
        <v>0</v>
      </c>
      <c r="F40" s="129">
        <f>SUM(F37:F39,F33)</f>
        <v>0</v>
      </c>
      <c r="G40" s="130">
        <f>SUM(G37:G39,G33)</f>
        <v>0</v>
      </c>
      <c r="H40" s="42"/>
      <c r="I40" s="39"/>
      <c r="J40" s="42">
        <f>SUM(J37:J39,J33)</f>
        <v>0</v>
      </c>
      <c r="K40" s="42"/>
      <c r="L40" s="42"/>
      <c r="M40" s="42"/>
      <c r="N40" s="42"/>
      <c r="O40" s="42"/>
      <c r="P40" s="42"/>
      <c r="Q40" s="111">
        <f>SUM(Q37:Q39,Q33)</f>
        <v>0</v>
      </c>
      <c r="R40" s="4"/>
      <c r="S40" s="100" t="s">
        <v>89</v>
      </c>
      <c r="T40" s="21">
        <f>IFERROR(SUMIFS(INDEX(rastreabilidade!$F:$H,0,MATCH($T$2,rastreabilidade!$F$1:$H$1,0)),rastreabilidade!$K:$K,$S40,rastreabilidade!$D:$D,"Sim"),0)</f>
        <v>0</v>
      </c>
      <c r="U40" s="35"/>
      <c r="V40" s="4"/>
      <c r="W40" s="166">
        <f>IFERROR(SUMIFS(INDEX(rastreabilidade!$F:$H,0,MATCH(W$3,rastreabilidade!$F$1:$H$1,0)),rastreabilidade!$N:$N,$AN40),0)*IF($AB40="sim",-1,1)
+IF($AG40="",0,IFERROR(SUMIFS(INDEX(rastreabilidade!$F:$H,0,MATCH(W$3,rastreabilidade!$F$1:$H$1,0)),rastreabilidade!$M:$M,$AG40),0))
+IF($AH40="",0,IFERROR(SUMIFS(INDEX(rastreabilidade!$F:$H,0,MATCH(W$3,rastreabilidade!$F$1:$H$1,0)),rastreabilidade!$M:$M,$AH40),0))
+IF($AI40="",0,IFERROR(SUMIFS(INDEX(rastreabilidade!$F:$H,0,MATCH(W$3,rastreabilidade!$F$1:$H$1,0)),rastreabilidade!$M:$M,$AI40),0))
+IF($AJ40="",0,IFERROR(SUMIFS(INDEX(rastreabilidade!$F:$H,0,MATCH(W$3,rastreabilidade!$F$1:$H$1,0)),rastreabilidade!$M:$M,$AJ40),0))
-IF($AC40="",0,IFERROR(SUMIFS(INDEX(rastreabilidade!$F:$H,0,MATCH(W$3,rastreabilidade!$F$1:$H$1,0)),rastreabilidade!$M:$M,$AC40,rastreabilidade!$N:$N,$AN40),0))
-IF($AD40="",0,IFERROR(SUMIFS(INDEX(rastreabilidade!$F:$H,0,MATCH(W$3,rastreabilidade!$F$1:$H$1,0)),rastreabilidade!$M:$M,$AD40,rastreabilidade!$N:$N,$AN40),0))
-IF($AE40="",0,IFERROR(SUMIFS(INDEX(rastreabilidade!$F:$H,0,MATCH(W$3,rastreabilidade!$F$1:$H$1,0)),rastreabilidade!$M:$M,$AE40,rastreabilidade!$N:$N,$AN40),0))
-IF($AF40="",0,IFERROR(SUMIFS(INDEX(rastreabilidade!$F:$H,0,MATCH(W$3,rastreabilidade!$F$1:$H$1,0)),rastreabilidade!$M:$M,$AF40,rastreabilidade!$N:$N,$AN40),0))</f>
        <v>0</v>
      </c>
      <c r="X40" s="166">
        <f>IFERROR(SUMIFS(INDEX(rastreabilidade!$F:$H,0,MATCH(X$3,rastreabilidade!$F$1:$H$1,0)),rastreabilidade!$N:$N,$AN40),0)*IF($AB40="sim",-1,1)
+IF($AG40="",0,IFERROR(SUMIFS(INDEX(rastreabilidade!$F:$H,0,MATCH(X$3,rastreabilidade!$F$1:$H$1,0)),rastreabilidade!$M:$M,$AG40),0))
+IF($AH40="",0,IFERROR(SUMIFS(INDEX(rastreabilidade!$F:$H,0,MATCH(X$3,rastreabilidade!$F$1:$H$1,0)),rastreabilidade!$M:$M,$AH40),0))
+IF($AI40="",0,IFERROR(SUMIFS(INDEX(rastreabilidade!$F:$H,0,MATCH(X$3,rastreabilidade!$F$1:$H$1,0)),rastreabilidade!$M:$M,$AI40),0))
+IF($AJ40="",0,IFERROR(SUMIFS(INDEX(rastreabilidade!$F:$H,0,MATCH(X$3,rastreabilidade!$F$1:$H$1,0)),rastreabilidade!$M:$M,$AJ40),0))
-IF($AC40="",0,IFERROR(SUMIFS(INDEX(rastreabilidade!$F:$H,0,MATCH(X$3,rastreabilidade!$F$1:$H$1,0)),rastreabilidade!$M:$M,$AC40,rastreabilidade!$N:$N,$AN40),0))
-IF($AD40="",0,IFERROR(SUMIFS(INDEX(rastreabilidade!$F:$H,0,MATCH(X$3,rastreabilidade!$F$1:$H$1,0)),rastreabilidade!$M:$M,$AD40,rastreabilidade!$N:$N,$AN40),0))
-IF($AE40="",0,IFERROR(SUMIFS(INDEX(rastreabilidade!$F:$H,0,MATCH(X$3,rastreabilidade!$F$1:$H$1,0)),rastreabilidade!$M:$M,$AE40,rastreabilidade!$N:$N,$AN40),0))
-IF($AF40="",0,IFERROR(SUMIFS(INDEX(rastreabilidade!$F:$H,0,MATCH(X$3,rastreabilidade!$F$1:$H$1,0)),rastreabilidade!$M:$M,$AF40,rastreabilidade!$N:$N,$AN40),0))</f>
        <v>0</v>
      </c>
      <c r="Y40" s="166">
        <f>IFERROR(SUMIFS(INDEX(rastreabilidade!$F:$H,0,MATCH(Y$3,rastreabilidade!$F$1:$H$1,0)),rastreabilidade!$N:$N,$AN40),0)*IF($AB40="sim",-1,1)
+IF($AG40="",0,IFERROR(SUMIFS(INDEX(rastreabilidade!$F:$H,0,MATCH(Y$3,rastreabilidade!$F$1:$H$1,0)),rastreabilidade!$M:$M,$AG40),0))
+IF($AH40="",0,IFERROR(SUMIFS(INDEX(rastreabilidade!$F:$H,0,MATCH(Y$3,rastreabilidade!$F$1:$H$1,0)),rastreabilidade!$M:$M,$AH40),0))
+IF($AI40="",0,IFERROR(SUMIFS(INDEX(rastreabilidade!$F:$H,0,MATCH(Y$3,rastreabilidade!$F$1:$H$1,0)),rastreabilidade!$M:$M,$AI40),0))
+IF($AJ40="",0,IFERROR(SUMIFS(INDEX(rastreabilidade!$F:$H,0,MATCH(Y$3,rastreabilidade!$F$1:$H$1,0)),rastreabilidade!$M:$M,$AJ40),0))
-IF($AC40="",0,IFERROR(SUMIFS(INDEX(rastreabilidade!$F:$H,0,MATCH(Y$3,rastreabilidade!$F$1:$H$1,0)),rastreabilidade!$M:$M,$AC40,rastreabilidade!$N:$N,$AN40),0))
-IF($AD40="",0,IFERROR(SUMIFS(INDEX(rastreabilidade!$F:$H,0,MATCH(Y$3,rastreabilidade!$F$1:$H$1,0)),rastreabilidade!$M:$M,$AD40,rastreabilidade!$N:$N,$AN40),0))
-IF($AE40="",0,IFERROR(SUMIFS(INDEX(rastreabilidade!$F:$H,0,MATCH(Y$3,rastreabilidade!$F$1:$H$1,0)),rastreabilidade!$M:$M,$AE40,rastreabilidade!$N:$N,$AN40),0))
-IF($AF40="",0,IFERROR(SUMIFS(INDEX(rastreabilidade!$F:$H,0,MATCH(Y$3,rastreabilidade!$F$1:$H$1,0)),rastreabilidade!$M:$M,$AF40,rastreabilidade!$N:$N,$AN40),0))</f>
        <v>0</v>
      </c>
      <c r="Z40" s="47"/>
      <c r="AA40" s="177" t="str" cm="1">
        <f t="array" ref="AA40">_xlfn.LET(
_xlpm.mem,Z40,
_xlpm.retiradas,AC40:AF40,
_xlpm.adicoes,AG40:AJ40,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AB40" s="114"/>
      <c r="AC40" s="54"/>
      <c r="AD40" s="54"/>
      <c r="AE40" s="54"/>
      <c r="AF40" s="54"/>
      <c r="AG40" s="58"/>
      <c r="AH40" s="58"/>
      <c r="AI40" s="58"/>
      <c r="AJ40" s="108"/>
      <c r="AL40" s="5"/>
      <c r="AM40" s="5" t="str">
        <f t="shared" si="2"/>
        <v>TOTAL ATIVO FIXO|Ativo|Não Circulante</v>
      </c>
      <c r="AN40" s="5" t="str">
        <f t="shared" si="1"/>
        <v>+/- Participações Minoritárias|DRE|DRE</v>
      </c>
      <c r="AO40" s="5"/>
      <c r="AP40" s="5"/>
      <c r="AQ40" s="6"/>
      <c r="AR40" s="7"/>
      <c r="AS40" s="7"/>
      <c r="AT40" s="7"/>
    </row>
    <row r="41" spans="1:46" ht="35.1" customHeight="1" x14ac:dyDescent="0.25">
      <c r="A41" s="84" t="s">
        <v>90</v>
      </c>
      <c r="B41" s="133">
        <f>+B40+B30+B22</f>
        <v>0</v>
      </c>
      <c r="C41" s="44"/>
      <c r="D41" s="4"/>
      <c r="E41" s="133">
        <f>+E40+E30+E22</f>
        <v>0</v>
      </c>
      <c r="F41" s="133">
        <f>+F40+F30+F22</f>
        <v>0</v>
      </c>
      <c r="G41" s="134">
        <f>+G40+G30+G22</f>
        <v>0</v>
      </c>
      <c r="H41" s="43"/>
      <c r="I41" s="44"/>
      <c r="J41" s="43">
        <f>+J40+J30+J22</f>
        <v>0</v>
      </c>
      <c r="K41" s="43"/>
      <c r="L41" s="43"/>
      <c r="M41" s="43"/>
      <c r="N41" s="43"/>
      <c r="O41" s="43"/>
      <c r="P41" s="43"/>
      <c r="Q41" s="112">
        <f>+Q40+Q30+Q22</f>
        <v>0</v>
      </c>
      <c r="R41" s="4"/>
      <c r="S41" s="90" t="s">
        <v>91</v>
      </c>
      <c r="T41" s="14">
        <f>T37-T39+T40</f>
        <v>0</v>
      </c>
      <c r="U41" s="51"/>
      <c r="V41" s="4"/>
      <c r="W41" s="159">
        <f>W37-W39+W40</f>
        <v>0</v>
      </c>
      <c r="X41" s="159">
        <f>X37-X39+X40</f>
        <v>0</v>
      </c>
      <c r="Y41" s="159">
        <f>Y37-Y39+Y40</f>
        <v>0</v>
      </c>
      <c r="Z41" s="47"/>
      <c r="AA41" s="51"/>
      <c r="AB41" s="115"/>
      <c r="AC41" s="51"/>
      <c r="AD41" s="51"/>
      <c r="AE41" s="51"/>
      <c r="AF41" s="51"/>
      <c r="AG41" s="51"/>
      <c r="AH41" s="51"/>
      <c r="AI41" s="51"/>
      <c r="AJ41" s="105"/>
      <c r="AL41" s="5"/>
      <c r="AM41" s="5" t="str">
        <f t="shared" si="2"/>
        <v>TOTAL ATIVO|Ativo|Não Circulante</v>
      </c>
      <c r="AN41" s="5" t="str">
        <f t="shared" si="1"/>
        <v>Lucro após dividendos e minoritários|DRE|DRE</v>
      </c>
      <c r="AO41" s="5"/>
      <c r="AP41" s="5"/>
      <c r="AQ41" s="6"/>
      <c r="AR41" s="7"/>
      <c r="AS41" s="7"/>
      <c r="AT41" s="7"/>
    </row>
    <row r="42" spans="1:46" ht="9.9499999999999993" customHeight="1" x14ac:dyDescent="0.25">
      <c r="A42" s="85"/>
      <c r="B42" s="143"/>
      <c r="C42" s="45"/>
      <c r="D42" s="4"/>
      <c r="E42" s="4"/>
      <c r="F42" s="4"/>
      <c r="G42" s="4"/>
      <c r="H42" s="45"/>
      <c r="I42" s="150"/>
      <c r="J42" s="45"/>
      <c r="K42" s="45"/>
      <c r="L42" s="45"/>
      <c r="M42" s="45"/>
      <c r="N42" s="45"/>
      <c r="O42" s="45"/>
      <c r="P42" s="45"/>
      <c r="Q42" s="45"/>
      <c r="R42" s="4"/>
      <c r="S42" s="3"/>
      <c r="T42" s="3"/>
      <c r="U42" s="53"/>
      <c r="V42" s="4"/>
      <c r="W42" s="3"/>
      <c r="X42" s="4"/>
      <c r="Y42" s="4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L42" s="5"/>
      <c r="AM42" s="5"/>
      <c r="AN42" s="5"/>
      <c r="AO42" s="5"/>
      <c r="AP42" s="5"/>
      <c r="AQ42" s="6"/>
      <c r="AR42" s="7"/>
      <c r="AS42" s="7"/>
      <c r="AT42" s="7"/>
    </row>
    <row r="43" spans="1:46" ht="35.1" customHeight="1" x14ac:dyDescent="0.25">
      <c r="A43" s="86"/>
      <c r="B43" s="63" t="s">
        <v>6</v>
      </c>
      <c r="C43" s="63" t="s">
        <v>7</v>
      </c>
      <c r="D43" s="4"/>
      <c r="E43" s="66" t="str">
        <f>E3</f>
        <v>ANO 1</v>
      </c>
      <c r="F43" s="66" t="str">
        <f>F3</f>
        <v>ANO 2</v>
      </c>
      <c r="G43" s="66" t="str">
        <f>G3</f>
        <v>ANO 3</v>
      </c>
      <c r="H43" s="67" t="s">
        <v>11</v>
      </c>
      <c r="I43" s="149" t="s">
        <v>12</v>
      </c>
      <c r="J43" s="30" t="s">
        <v>2</v>
      </c>
      <c r="K43" s="30" t="s">
        <v>2</v>
      </c>
      <c r="L43" s="30" t="s">
        <v>2</v>
      </c>
      <c r="M43" s="30" t="s">
        <v>2</v>
      </c>
      <c r="N43" s="31" t="s">
        <v>1</v>
      </c>
      <c r="O43" s="31" t="s">
        <v>1</v>
      </c>
      <c r="P43" s="31" t="s">
        <v>1</v>
      </c>
      <c r="Q43" s="31" t="s">
        <v>1</v>
      </c>
      <c r="R43" s="4"/>
      <c r="S43" s="4"/>
      <c r="T43" s="4"/>
      <c r="U43" s="45"/>
      <c r="V43" s="4"/>
      <c r="W43" s="4"/>
      <c r="X43" s="4"/>
      <c r="Y43" s="4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L43" s="5"/>
      <c r="AM43" s="5"/>
      <c r="AN43" s="5"/>
      <c r="AO43" s="5"/>
      <c r="AP43" s="5"/>
      <c r="AQ43" s="6"/>
      <c r="AR43" s="7"/>
      <c r="AS43" s="7"/>
      <c r="AT43" s="7"/>
    </row>
    <row r="44" spans="1:46" ht="35.1" customHeight="1" x14ac:dyDescent="0.25">
      <c r="A44" s="87" t="s">
        <v>92</v>
      </c>
      <c r="B44" s="135">
        <f>B2</f>
        <v>0</v>
      </c>
      <c r="C44" s="32"/>
      <c r="D44" s="4"/>
      <c r="E44" s="135">
        <f>E2</f>
        <v>0</v>
      </c>
      <c r="F44" s="135">
        <f>F2</f>
        <v>0</v>
      </c>
      <c r="G44" s="136">
        <f>G2</f>
        <v>0</v>
      </c>
      <c r="H44" s="32"/>
      <c r="I44" s="32"/>
      <c r="J44" s="32"/>
      <c r="K44" s="32"/>
      <c r="L44" s="32"/>
      <c r="M44" s="32"/>
      <c r="N44" s="32"/>
      <c r="O44" s="32"/>
      <c r="P44" s="32"/>
      <c r="Q44" s="49"/>
      <c r="R44" s="4"/>
      <c r="S44" s="4"/>
      <c r="T44" s="4"/>
      <c r="U44" s="45"/>
      <c r="V44" s="4"/>
      <c r="W44" s="4"/>
      <c r="X44" s="4"/>
      <c r="Y44" s="4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L44" s="5"/>
      <c r="AM44" s="5"/>
      <c r="AN44" s="5"/>
      <c r="AO44" s="5"/>
      <c r="AP44" s="5"/>
      <c r="AQ44" s="6"/>
      <c r="AR44" s="7"/>
      <c r="AS44" s="7"/>
      <c r="AT44" s="7"/>
    </row>
    <row r="45" spans="1:46" ht="35.1" customHeight="1" x14ac:dyDescent="0.25">
      <c r="A45" s="77" t="s">
        <v>93</v>
      </c>
      <c r="B45" s="137">
        <f>IFERROR(SUMIFS(INDEX(rastreabilidade!$F:$H,0,MATCH($B$2,rastreabilidade!$F$1:$H$1,0)),rastreabilidade!$K:$K,$A45,rastreabilidade!$D:$D,"Sim"),0)</f>
        <v>0</v>
      </c>
      <c r="C45" s="35"/>
      <c r="D45" s="4"/>
      <c r="E45" s="137">
        <f>IFERROR(SUMIFS(INDEX(rastreabilidade!$F:$H,0,MATCH(E$3,rastreabilidade!$F$1:$H$1,0)),rastreabilidade!$N:$N,$AM45),0)
+IF($N45="",0,IFERROR(SUMIFS(INDEX(rastreabilidade!$F:$H,0,MATCH(E$3,rastreabilidade!$F$1:$H$1,0)),rastreabilidade!$M:$M,$N45),0))
+IF($O45="",0,IFERROR(SUMIFS(INDEX(rastreabilidade!$F:$H,0,MATCH(E$3,rastreabilidade!$F$1:$H$1,0)),rastreabilidade!$M:$M,$O45),0))
+IF($P45="",0,IFERROR(SUMIFS(INDEX(rastreabilidade!$F:$H,0,MATCH(E$3,rastreabilidade!$F$1:$H$1,0)),rastreabilidade!$M:$M,$P45),0))
+IF($Q45="",0,IFERROR(SUMIFS(INDEX(rastreabilidade!$F:$H,0,MATCH(E$3,rastreabilidade!$F$1:$H$1,0)),rastreabilidade!$M:$M,$Q45),0))
-IF($J45="",0,IFERROR(SUMIFS(INDEX(rastreabilidade!$F:$H,0,MATCH(E$3,rastreabilidade!$F$1:$H$1,0)),rastreabilidade!$M:$M,$J45,rastreabilidade!$N:$N,$AM45),0))
-IF($K45="",0,IFERROR(SUMIFS(INDEX(rastreabilidade!$F:$H,0,MATCH(E$3,rastreabilidade!$F$1:$H$1,0)),rastreabilidade!$M:$M,$K45,rastreabilidade!$N:$N,$AM45),0))
-IF($L45="",0,IFERROR(SUMIFS(INDEX(rastreabilidade!$F:$H,0,MATCH(E$3,rastreabilidade!$F$1:$H$1,0)),rastreabilidade!$M:$M,$L45,rastreabilidade!$N:$N,$AM45),0))
-IF($M45="",0,IFERROR(SUMIFS(INDEX(rastreabilidade!$F:$H,0,MATCH(E$3,rastreabilidade!$F$1:$H$1,0)),rastreabilidade!$M:$M,$M45,rastreabilidade!$N:$N,$AM45),0))</f>
        <v>0</v>
      </c>
      <c r="F45" s="137">
        <f>IFERROR(SUMIFS(INDEX(rastreabilidade!$F:$H,0,MATCH(F$3,rastreabilidade!$F$1:$H$1,0)),rastreabilidade!$N:$N,$AM45),0)
+IF($N45="",0,IFERROR(SUMIFS(INDEX(rastreabilidade!$F:$H,0,MATCH(F$3,rastreabilidade!$F$1:$H$1,0)),rastreabilidade!$M:$M,$N45),0))
+IF($O45="",0,IFERROR(SUMIFS(INDEX(rastreabilidade!$F:$H,0,MATCH(F$3,rastreabilidade!$F$1:$H$1,0)),rastreabilidade!$M:$M,$O45),0))
+IF($P45="",0,IFERROR(SUMIFS(INDEX(rastreabilidade!$F:$H,0,MATCH(F$3,rastreabilidade!$F$1:$H$1,0)),rastreabilidade!$M:$M,$P45),0))
+IF($Q45="",0,IFERROR(SUMIFS(INDEX(rastreabilidade!$F:$H,0,MATCH(F$3,rastreabilidade!$F$1:$H$1,0)),rastreabilidade!$M:$M,$Q45),0))
-IF($J45="",0,IFERROR(SUMIFS(INDEX(rastreabilidade!$F:$H,0,MATCH(F$3,rastreabilidade!$F$1:$H$1,0)),rastreabilidade!$M:$M,$J45,rastreabilidade!$N:$N,$AM45),0))
-IF($K45="",0,IFERROR(SUMIFS(INDEX(rastreabilidade!$F:$H,0,MATCH(F$3,rastreabilidade!$F$1:$H$1,0)),rastreabilidade!$M:$M,$K45,rastreabilidade!$N:$N,$AM45),0))
-IF($L45="",0,IFERROR(SUMIFS(INDEX(rastreabilidade!$F:$H,0,MATCH(F$3,rastreabilidade!$F$1:$H$1,0)),rastreabilidade!$M:$M,$L45,rastreabilidade!$N:$N,$AM45),0))
-IF($M45="",0,IFERROR(SUMIFS(INDEX(rastreabilidade!$F:$H,0,MATCH(F$3,rastreabilidade!$F$1:$H$1,0)),rastreabilidade!$M:$M,$M45,rastreabilidade!$N:$N,$AM45),0))</f>
        <v>0</v>
      </c>
      <c r="G45" s="138">
        <f>IFERROR(SUMIFS(INDEX(rastreabilidade!$F:$H,0,MATCH(G$3,rastreabilidade!$F$1:$H$1,0)),rastreabilidade!$N:$N,$AM45),0)
+IF($N45="",0,IFERROR(SUMIFS(INDEX(rastreabilidade!$F:$H,0,MATCH(G$3,rastreabilidade!$F$1:$H$1,0)),rastreabilidade!$M:$M,$N45),0))
+IF($O45="",0,IFERROR(SUMIFS(INDEX(rastreabilidade!$F:$H,0,MATCH(G$3,rastreabilidade!$F$1:$H$1,0)),rastreabilidade!$M:$M,$O45),0))
+IF($P45="",0,IFERROR(SUMIFS(INDEX(rastreabilidade!$F:$H,0,MATCH(G$3,rastreabilidade!$F$1:$H$1,0)),rastreabilidade!$M:$M,$P45),0))
+IF($Q45="",0,IFERROR(SUMIFS(INDEX(rastreabilidade!$F:$H,0,MATCH(G$3,rastreabilidade!$F$1:$H$1,0)),rastreabilidade!$M:$M,$Q45),0))
-IF($J45="",0,IFERROR(SUMIFS(INDEX(rastreabilidade!$F:$H,0,MATCH(G$3,rastreabilidade!$F$1:$H$1,0)),rastreabilidade!$M:$M,$J45,rastreabilidade!$N:$N,$AM45),0))
-IF($K45="",0,IFERROR(SUMIFS(INDEX(rastreabilidade!$F:$H,0,MATCH(G$3,rastreabilidade!$F$1:$H$1,0)),rastreabilidade!$M:$M,$K45,rastreabilidade!$N:$N,$AM45),0))
-IF($L45="",0,IFERROR(SUMIFS(INDEX(rastreabilidade!$F:$H,0,MATCH(G$3,rastreabilidade!$F$1:$H$1,0)),rastreabilidade!$M:$M,$L45,rastreabilidade!$N:$N,$AM45),0))
-IF($M45="",0,IFERROR(SUMIFS(INDEX(rastreabilidade!$F:$H,0,MATCH(G$3,rastreabilidade!$F$1:$H$1,0)),rastreabilidade!$M:$M,$M45,rastreabilidade!$N:$N,$AM45),0))</f>
        <v>0</v>
      </c>
      <c r="H45" s="34"/>
      <c r="I45" s="155" t="str" cm="1">
        <f t="array" ref="I45">_xlfn.LET(
_xlpm.mem,H45,
_xlpm.retiradas,J45:M45,
_xlpm.adicoes,N45:Q45,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45" s="54"/>
      <c r="K45" s="54"/>
      <c r="L45" s="54"/>
      <c r="M45" s="54"/>
      <c r="N45" s="58"/>
      <c r="O45" s="58"/>
      <c r="P45" s="58"/>
      <c r="Q45" s="58"/>
      <c r="R45" s="4"/>
      <c r="S45" s="4"/>
      <c r="T45" s="4"/>
      <c r="U45" s="45"/>
      <c r="V45" s="4"/>
      <c r="W45" s="4"/>
      <c r="X45" s="4"/>
      <c r="Y45" s="4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L45" s="5"/>
      <c r="AM45" s="5" t="str">
        <f t="shared" ref="AM45:AM61" si="3">_xlfn.TEXTJOIN("|",TRUE,A45,"Passivo","Circulante")</f>
        <v>Bancos|Passivo|Circulante</v>
      </c>
      <c r="AN45" s="5"/>
      <c r="AO45" s="5"/>
      <c r="AP45" s="5"/>
      <c r="AQ45" s="6"/>
      <c r="AR45" s="7"/>
      <c r="AS45" s="7"/>
      <c r="AT45" s="7"/>
    </row>
    <row r="46" spans="1:46" ht="35.1" customHeight="1" x14ac:dyDescent="0.25">
      <c r="A46" s="88" t="s">
        <v>94</v>
      </c>
      <c r="B46" s="139">
        <f>IFERROR(SUMIFS(INDEX(rastreabilidade!$F:$H,0,MATCH($B$2,rastreabilidade!$F$1:$H$1,0)),rastreabilidade!$K:$K,$A46,rastreabilidade!$D:$D,"Sim"),0)</f>
        <v>0</v>
      </c>
      <c r="C46" s="35"/>
      <c r="D46" s="4"/>
      <c r="E46" s="131">
        <f>IFERROR(SUMIFS(INDEX(rastreabilidade!$F:$H,0,MATCH(E$3,rastreabilidade!$F$1:$H$1,0)),rastreabilidade!$N:$N,$AM46),0)
+IF($N46="",0,IFERROR(SUMIFS(INDEX(rastreabilidade!$F:$H,0,MATCH(E$3,rastreabilidade!$F$1:$H$1,0)),rastreabilidade!$M:$M,$N46),0))
+IF($O46="",0,IFERROR(SUMIFS(INDEX(rastreabilidade!$F:$H,0,MATCH(E$3,rastreabilidade!$F$1:$H$1,0)),rastreabilidade!$M:$M,$O46),0))
+IF($P46="",0,IFERROR(SUMIFS(INDEX(rastreabilidade!$F:$H,0,MATCH(E$3,rastreabilidade!$F$1:$H$1,0)),rastreabilidade!$M:$M,$P46),0))
+IF($Q46="",0,IFERROR(SUMIFS(INDEX(rastreabilidade!$F:$H,0,MATCH(E$3,rastreabilidade!$F$1:$H$1,0)),rastreabilidade!$M:$M,$Q46),0))
-IF($J46="",0,IFERROR(SUMIFS(INDEX(rastreabilidade!$F:$H,0,MATCH(E$3,rastreabilidade!$F$1:$H$1,0)),rastreabilidade!$M:$M,$J46,rastreabilidade!$N:$N,$AM46),0))
-IF($K46="",0,IFERROR(SUMIFS(INDEX(rastreabilidade!$F:$H,0,MATCH(E$3,rastreabilidade!$F$1:$H$1,0)),rastreabilidade!$M:$M,$K46,rastreabilidade!$N:$N,$AM46),0))
-IF($L46="",0,IFERROR(SUMIFS(INDEX(rastreabilidade!$F:$H,0,MATCH(E$3,rastreabilidade!$F$1:$H$1,0)),rastreabilidade!$M:$M,$L46,rastreabilidade!$N:$N,$AM46),0))
-IF($M46="",0,IFERROR(SUMIFS(INDEX(rastreabilidade!$F:$H,0,MATCH(E$3,rastreabilidade!$F$1:$H$1,0)),rastreabilidade!$M:$M,$M46,rastreabilidade!$N:$N,$AM46),0))</f>
        <v>0</v>
      </c>
      <c r="F46" s="139">
        <f>IFERROR(SUMIFS(INDEX(rastreabilidade!$F:$H,0,MATCH(F$3,rastreabilidade!$F$1:$H$1,0)),rastreabilidade!$N:$N,$AM46),0)
+IF($N46="",0,IFERROR(SUMIFS(INDEX(rastreabilidade!$F:$H,0,MATCH(F$3,rastreabilidade!$F$1:$H$1,0)),rastreabilidade!$M:$M,$N46),0))
+IF($O46="",0,IFERROR(SUMIFS(INDEX(rastreabilidade!$F:$H,0,MATCH(F$3,rastreabilidade!$F$1:$H$1,0)),rastreabilidade!$M:$M,$O46),0))
+IF($P46="",0,IFERROR(SUMIFS(INDEX(rastreabilidade!$F:$H,0,MATCH(F$3,rastreabilidade!$F$1:$H$1,0)),rastreabilidade!$M:$M,$P46),0))
+IF($Q46="",0,IFERROR(SUMIFS(INDEX(rastreabilidade!$F:$H,0,MATCH(F$3,rastreabilidade!$F$1:$H$1,0)),rastreabilidade!$M:$M,$Q46),0))
-IF($J46="",0,IFERROR(SUMIFS(INDEX(rastreabilidade!$F:$H,0,MATCH(F$3,rastreabilidade!$F$1:$H$1,0)),rastreabilidade!$M:$M,$J46,rastreabilidade!$N:$N,$AM46),0))
-IF($K46="",0,IFERROR(SUMIFS(INDEX(rastreabilidade!$F:$H,0,MATCH(F$3,rastreabilidade!$F$1:$H$1,0)),rastreabilidade!$M:$M,$K46,rastreabilidade!$N:$N,$AM46),0))
-IF($L46="",0,IFERROR(SUMIFS(INDEX(rastreabilidade!$F:$H,0,MATCH(F$3,rastreabilidade!$F$1:$H$1,0)),rastreabilidade!$M:$M,$L46,rastreabilidade!$N:$N,$AM46),0))
-IF($M46="",0,IFERROR(SUMIFS(INDEX(rastreabilidade!$F:$H,0,MATCH(F$3,rastreabilidade!$F$1:$H$1,0)),rastreabilidade!$M:$M,$M46,rastreabilidade!$N:$N,$AM46),0))</f>
        <v>0</v>
      </c>
      <c r="G46" s="140">
        <f>IFERROR(SUMIFS(INDEX(rastreabilidade!$F:$H,0,MATCH(G$3,rastreabilidade!$F$1:$H$1,0)),rastreabilidade!$N:$N,$AM46),0)
+IF($N46="",0,IFERROR(SUMIFS(INDEX(rastreabilidade!$F:$H,0,MATCH(G$3,rastreabilidade!$F$1:$H$1,0)),rastreabilidade!$M:$M,$N46),0))
+IF($O46="",0,IFERROR(SUMIFS(INDEX(rastreabilidade!$F:$H,0,MATCH(G$3,rastreabilidade!$F$1:$H$1,0)),rastreabilidade!$M:$M,$O46),0))
+IF($P46="",0,IFERROR(SUMIFS(INDEX(rastreabilidade!$F:$H,0,MATCH(G$3,rastreabilidade!$F$1:$H$1,0)),rastreabilidade!$M:$M,$P46),0))
+IF($Q46="",0,IFERROR(SUMIFS(INDEX(rastreabilidade!$F:$H,0,MATCH(G$3,rastreabilidade!$F$1:$H$1,0)),rastreabilidade!$M:$M,$Q46),0))
-IF($J46="",0,IFERROR(SUMIFS(INDEX(rastreabilidade!$F:$H,0,MATCH(G$3,rastreabilidade!$F$1:$H$1,0)),rastreabilidade!$M:$M,$J46,rastreabilidade!$N:$N,$AM46),0))
-IF($K46="",0,IFERROR(SUMIFS(INDEX(rastreabilidade!$F:$H,0,MATCH(G$3,rastreabilidade!$F$1:$H$1,0)),rastreabilidade!$M:$M,$K46,rastreabilidade!$N:$N,$AM46),0))
-IF($L46="",0,IFERROR(SUMIFS(INDEX(rastreabilidade!$F:$H,0,MATCH(G$3,rastreabilidade!$F$1:$H$1,0)),rastreabilidade!$M:$M,$L46,rastreabilidade!$N:$N,$AM46),0))
-IF($M46="",0,IFERROR(SUMIFS(INDEX(rastreabilidade!$F:$H,0,MATCH(G$3,rastreabilidade!$F$1:$H$1,0)),rastreabilidade!$M:$M,$M46,rastreabilidade!$N:$N,$AM46),0))</f>
        <v>0</v>
      </c>
      <c r="H46" s="36"/>
      <c r="I46" s="155" t="str" cm="1">
        <f t="array" ref="I46">_xlfn.LET(
_xlpm.mem,H46,
_xlpm.retiradas,J46:M46,
_xlpm.adicoes,N46:Q46,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46" s="54"/>
      <c r="K46" s="54"/>
      <c r="L46" s="54"/>
      <c r="M46" s="54"/>
      <c r="N46" s="58"/>
      <c r="O46" s="58"/>
      <c r="P46" s="58"/>
      <c r="Q46" s="58"/>
      <c r="R46" s="4"/>
      <c r="S46" s="4"/>
      <c r="T46" s="4"/>
      <c r="U46" s="45"/>
      <c r="V46" s="4"/>
      <c r="W46" s="4"/>
      <c r="X46" s="4"/>
      <c r="Y46" s="4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L46" s="5"/>
      <c r="AM46" s="5" t="str">
        <f t="shared" si="3"/>
        <v>Outras Dividas Financeiras|Passivo|Circulante</v>
      </c>
      <c r="AN46" s="5"/>
      <c r="AO46" s="5"/>
      <c r="AP46" s="5"/>
      <c r="AQ46" s="6"/>
      <c r="AR46" s="7"/>
      <c r="AS46" s="7"/>
      <c r="AT46" s="7"/>
    </row>
    <row r="47" spans="1:46" ht="35.1" customHeight="1" x14ac:dyDescent="0.25">
      <c r="A47" s="88" t="s">
        <v>95</v>
      </c>
      <c r="B47" s="139">
        <f>IFERROR(SUMIFS(INDEX(rastreabilidade!$F:$H,0,MATCH($B$2,rastreabilidade!$F$1:$H$1,0)),rastreabilidade!$K:$K,$A47,rastreabilidade!$D:$D,"Sim"),0)</f>
        <v>0</v>
      </c>
      <c r="C47" s="35"/>
      <c r="D47" s="4"/>
      <c r="E47" s="131">
        <f>IFERROR(SUMIFS(INDEX(rastreabilidade!$F:$H,0,MATCH(E$3,rastreabilidade!$F$1:$H$1,0)),rastreabilidade!$N:$N,$AM47),0)
+IF($N47="",0,IFERROR(SUMIFS(INDEX(rastreabilidade!$F:$H,0,MATCH(E$3,rastreabilidade!$F$1:$H$1,0)),rastreabilidade!$M:$M,$N47),0))
+IF($O47="",0,IFERROR(SUMIFS(INDEX(rastreabilidade!$F:$H,0,MATCH(E$3,rastreabilidade!$F$1:$H$1,0)),rastreabilidade!$M:$M,$O47),0))
+IF($P47="",0,IFERROR(SUMIFS(INDEX(rastreabilidade!$F:$H,0,MATCH(E$3,rastreabilidade!$F$1:$H$1,0)),rastreabilidade!$M:$M,$P47),0))
+IF($Q47="",0,IFERROR(SUMIFS(INDEX(rastreabilidade!$F:$H,0,MATCH(E$3,rastreabilidade!$F$1:$H$1,0)),rastreabilidade!$M:$M,$Q47),0))
-IF($J47="",0,IFERROR(SUMIFS(INDEX(rastreabilidade!$F:$H,0,MATCH(E$3,rastreabilidade!$F$1:$H$1,0)),rastreabilidade!$M:$M,$J47,rastreabilidade!$N:$N,$AM47),0))
-IF($K47="",0,IFERROR(SUMIFS(INDEX(rastreabilidade!$F:$H,0,MATCH(E$3,rastreabilidade!$F$1:$H$1,0)),rastreabilidade!$M:$M,$K47,rastreabilidade!$N:$N,$AM47),0))
-IF($L47="",0,IFERROR(SUMIFS(INDEX(rastreabilidade!$F:$H,0,MATCH(E$3,rastreabilidade!$F$1:$H$1,0)),rastreabilidade!$M:$M,$L47,rastreabilidade!$N:$N,$AM47),0))
-IF($M47="",0,IFERROR(SUMIFS(INDEX(rastreabilidade!$F:$H,0,MATCH(E$3,rastreabilidade!$F$1:$H$1,0)),rastreabilidade!$M:$M,$M47,rastreabilidade!$N:$N,$AM47),0))</f>
        <v>0</v>
      </c>
      <c r="F47" s="139">
        <f>IFERROR(SUMIFS(INDEX(rastreabilidade!$F:$H,0,MATCH(F$3,rastreabilidade!$F$1:$H$1,0)),rastreabilidade!$N:$N,$AM47),0)
+IF($N47="",0,IFERROR(SUMIFS(INDEX(rastreabilidade!$F:$H,0,MATCH(F$3,rastreabilidade!$F$1:$H$1,0)),rastreabilidade!$M:$M,$N47),0))
+IF($O47="",0,IFERROR(SUMIFS(INDEX(rastreabilidade!$F:$H,0,MATCH(F$3,rastreabilidade!$F$1:$H$1,0)),rastreabilidade!$M:$M,$O47),0))
+IF($P47="",0,IFERROR(SUMIFS(INDEX(rastreabilidade!$F:$H,0,MATCH(F$3,rastreabilidade!$F$1:$H$1,0)),rastreabilidade!$M:$M,$P47),0))
+IF($Q47="",0,IFERROR(SUMIFS(INDEX(rastreabilidade!$F:$H,0,MATCH(F$3,rastreabilidade!$F$1:$H$1,0)),rastreabilidade!$M:$M,$Q47),0))
-IF($J47="",0,IFERROR(SUMIFS(INDEX(rastreabilidade!$F:$H,0,MATCH(F$3,rastreabilidade!$F$1:$H$1,0)),rastreabilidade!$M:$M,$J47,rastreabilidade!$N:$N,$AM47),0))
-IF($K47="",0,IFERROR(SUMIFS(INDEX(rastreabilidade!$F:$H,0,MATCH(F$3,rastreabilidade!$F$1:$H$1,0)),rastreabilidade!$M:$M,$K47,rastreabilidade!$N:$N,$AM47),0))
-IF($L47="",0,IFERROR(SUMIFS(INDEX(rastreabilidade!$F:$H,0,MATCH(F$3,rastreabilidade!$F$1:$H$1,0)),rastreabilidade!$M:$M,$L47,rastreabilidade!$N:$N,$AM47),0))
-IF($M47="",0,IFERROR(SUMIFS(INDEX(rastreabilidade!$F:$H,0,MATCH(F$3,rastreabilidade!$F$1:$H$1,0)),rastreabilidade!$M:$M,$M47,rastreabilidade!$N:$N,$AM47),0))</f>
        <v>0</v>
      </c>
      <c r="G47" s="140">
        <f>IFERROR(SUMIFS(INDEX(rastreabilidade!$F:$H,0,MATCH(G$3,rastreabilidade!$F$1:$H$1,0)),rastreabilidade!$N:$N,$AM47),0)
+IF($N47="",0,IFERROR(SUMIFS(INDEX(rastreabilidade!$F:$H,0,MATCH(G$3,rastreabilidade!$F$1:$H$1,0)),rastreabilidade!$M:$M,$N47),0))
+IF($O47="",0,IFERROR(SUMIFS(INDEX(rastreabilidade!$F:$H,0,MATCH(G$3,rastreabilidade!$F$1:$H$1,0)),rastreabilidade!$M:$M,$O47),0))
+IF($P47="",0,IFERROR(SUMIFS(INDEX(rastreabilidade!$F:$H,0,MATCH(G$3,rastreabilidade!$F$1:$H$1,0)),rastreabilidade!$M:$M,$P47),0))
+IF($Q47="",0,IFERROR(SUMIFS(INDEX(rastreabilidade!$F:$H,0,MATCH(G$3,rastreabilidade!$F$1:$H$1,0)),rastreabilidade!$M:$M,$Q47),0))
-IF($J47="",0,IFERROR(SUMIFS(INDEX(rastreabilidade!$F:$H,0,MATCH(G$3,rastreabilidade!$F$1:$H$1,0)),rastreabilidade!$M:$M,$J47,rastreabilidade!$N:$N,$AM47),0))
-IF($K47="",0,IFERROR(SUMIFS(INDEX(rastreabilidade!$F:$H,0,MATCH(G$3,rastreabilidade!$F$1:$H$1,0)),rastreabilidade!$M:$M,$K47,rastreabilidade!$N:$N,$AM47),0))
-IF($L47="",0,IFERROR(SUMIFS(INDEX(rastreabilidade!$F:$H,0,MATCH(G$3,rastreabilidade!$F$1:$H$1,0)),rastreabilidade!$M:$M,$L47,rastreabilidade!$N:$N,$AM47),0))
-IF($M47="",0,IFERROR(SUMIFS(INDEX(rastreabilidade!$F:$H,0,MATCH(G$3,rastreabilidade!$F$1:$H$1,0)),rastreabilidade!$M:$M,$M47,rastreabilidade!$N:$N,$AM47),0))</f>
        <v>0</v>
      </c>
      <c r="H47" s="36"/>
      <c r="I47" s="155" t="str" cm="1">
        <f t="array" ref="I47">_xlfn.LET(
_xlpm.mem,H47,
_xlpm.retiradas,J47:M47,
_xlpm.adicoes,N47:Q47,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47" s="54"/>
      <c r="K47" s="54"/>
      <c r="L47" s="54"/>
      <c r="M47" s="54"/>
      <c r="N47" s="58"/>
      <c r="O47" s="58"/>
      <c r="P47" s="58"/>
      <c r="Q47" s="58"/>
      <c r="R47" s="4"/>
      <c r="S47" s="4"/>
      <c r="T47" s="4"/>
      <c r="U47" s="45"/>
      <c r="V47" s="4"/>
      <c r="W47" s="4"/>
      <c r="X47" s="4"/>
      <c r="Y47" s="4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L47" s="5"/>
      <c r="AM47" s="5" t="str">
        <f t="shared" si="3"/>
        <v>Confirming|Passivo|Circulante</v>
      </c>
      <c r="AN47" s="5"/>
      <c r="AO47" s="5"/>
      <c r="AP47" s="5"/>
      <c r="AQ47" s="6"/>
      <c r="AR47" s="7"/>
      <c r="AS47" s="7"/>
      <c r="AT47" s="7"/>
    </row>
    <row r="48" spans="1:46" ht="35.1" customHeight="1" x14ac:dyDescent="0.25">
      <c r="A48" s="88" t="s">
        <v>96</v>
      </c>
      <c r="B48" s="139">
        <f>IFERROR(SUMIFS(INDEX(rastreabilidade!$F:$H,0,MATCH($B$2,rastreabilidade!$F$1:$H$1,0)),rastreabilidade!$K:$K,$A48,rastreabilidade!$D:$D,"Sim"),0)</f>
        <v>0</v>
      </c>
      <c r="C48" s="35"/>
      <c r="D48" s="4"/>
      <c r="E48" s="131">
        <f>IFERROR(SUMIFS(INDEX(rastreabilidade!$F:$H,0,MATCH(E$3,rastreabilidade!$F$1:$H$1,0)),rastreabilidade!$N:$N,$AM48),0)
+IF($N48="",0,IFERROR(SUMIFS(INDEX(rastreabilidade!$F:$H,0,MATCH(E$3,rastreabilidade!$F$1:$H$1,0)),rastreabilidade!$M:$M,$N48),0))
+IF($O48="",0,IFERROR(SUMIFS(INDEX(rastreabilidade!$F:$H,0,MATCH(E$3,rastreabilidade!$F$1:$H$1,0)),rastreabilidade!$M:$M,$O48),0))
+IF($P48="",0,IFERROR(SUMIFS(INDEX(rastreabilidade!$F:$H,0,MATCH(E$3,rastreabilidade!$F$1:$H$1,0)),rastreabilidade!$M:$M,$P48),0))
+IF($Q48="",0,IFERROR(SUMIFS(INDEX(rastreabilidade!$F:$H,0,MATCH(E$3,rastreabilidade!$F$1:$H$1,0)),rastreabilidade!$M:$M,$Q48),0))
-IF($J48="",0,IFERROR(SUMIFS(INDEX(rastreabilidade!$F:$H,0,MATCH(E$3,rastreabilidade!$F$1:$H$1,0)),rastreabilidade!$M:$M,$J48,rastreabilidade!$N:$N,$AM48),0))
-IF($K48="",0,IFERROR(SUMIFS(INDEX(rastreabilidade!$F:$H,0,MATCH(E$3,rastreabilidade!$F$1:$H$1,0)),rastreabilidade!$M:$M,$K48,rastreabilidade!$N:$N,$AM48),0))
-IF($L48="",0,IFERROR(SUMIFS(INDEX(rastreabilidade!$F:$H,0,MATCH(E$3,rastreabilidade!$F$1:$H$1,0)),rastreabilidade!$M:$M,$L48,rastreabilidade!$N:$N,$AM48),0))
-IF($M48="",0,IFERROR(SUMIFS(INDEX(rastreabilidade!$F:$H,0,MATCH(E$3,rastreabilidade!$F$1:$H$1,0)),rastreabilidade!$M:$M,$M48,rastreabilidade!$N:$N,$AM48),0))</f>
        <v>0</v>
      </c>
      <c r="F48" s="139">
        <f>IFERROR(SUMIFS(INDEX(rastreabilidade!$F:$H,0,MATCH(F$3,rastreabilidade!$F$1:$H$1,0)),rastreabilidade!$N:$N,$AM48),0)
+IF($N48="",0,IFERROR(SUMIFS(INDEX(rastreabilidade!$F:$H,0,MATCH(F$3,rastreabilidade!$F$1:$H$1,0)),rastreabilidade!$M:$M,$N48),0))
+IF($O48="",0,IFERROR(SUMIFS(INDEX(rastreabilidade!$F:$H,0,MATCH(F$3,rastreabilidade!$F$1:$H$1,0)),rastreabilidade!$M:$M,$O48),0))
+IF($P48="",0,IFERROR(SUMIFS(INDEX(rastreabilidade!$F:$H,0,MATCH(F$3,rastreabilidade!$F$1:$H$1,0)),rastreabilidade!$M:$M,$P48),0))
+IF($Q48="",0,IFERROR(SUMIFS(INDEX(rastreabilidade!$F:$H,0,MATCH(F$3,rastreabilidade!$F$1:$H$1,0)),rastreabilidade!$M:$M,$Q48),0))
-IF($J48="",0,IFERROR(SUMIFS(INDEX(rastreabilidade!$F:$H,0,MATCH(F$3,rastreabilidade!$F$1:$H$1,0)),rastreabilidade!$M:$M,$J48,rastreabilidade!$N:$N,$AM48),0))
-IF($K48="",0,IFERROR(SUMIFS(INDEX(rastreabilidade!$F:$H,0,MATCH(F$3,rastreabilidade!$F$1:$H$1,0)),rastreabilidade!$M:$M,$K48,rastreabilidade!$N:$N,$AM48),0))
-IF($L48="",0,IFERROR(SUMIFS(INDEX(rastreabilidade!$F:$H,0,MATCH(F$3,rastreabilidade!$F$1:$H$1,0)),rastreabilidade!$M:$M,$L48,rastreabilidade!$N:$N,$AM48),0))
-IF($M48="",0,IFERROR(SUMIFS(INDEX(rastreabilidade!$F:$H,0,MATCH(F$3,rastreabilidade!$F$1:$H$1,0)),rastreabilidade!$M:$M,$M48,rastreabilidade!$N:$N,$AM48),0))</f>
        <v>0</v>
      </c>
      <c r="G48" s="140">
        <f>IFERROR(SUMIFS(INDEX(rastreabilidade!$F:$H,0,MATCH(G$3,rastreabilidade!$F$1:$H$1,0)),rastreabilidade!$N:$N,$AM48),0)
+IF($N48="",0,IFERROR(SUMIFS(INDEX(rastreabilidade!$F:$H,0,MATCH(G$3,rastreabilidade!$F$1:$H$1,0)),rastreabilidade!$M:$M,$N48),0))
+IF($O48="",0,IFERROR(SUMIFS(INDEX(rastreabilidade!$F:$H,0,MATCH(G$3,rastreabilidade!$F$1:$H$1,0)),rastreabilidade!$M:$M,$O48),0))
+IF($P48="",0,IFERROR(SUMIFS(INDEX(rastreabilidade!$F:$H,0,MATCH(G$3,rastreabilidade!$F$1:$H$1,0)),rastreabilidade!$M:$M,$P48),0))
+IF($Q48="",0,IFERROR(SUMIFS(INDEX(rastreabilidade!$F:$H,0,MATCH(G$3,rastreabilidade!$F$1:$H$1,0)),rastreabilidade!$M:$M,$Q48),0))
-IF($J48="",0,IFERROR(SUMIFS(INDEX(rastreabilidade!$F:$H,0,MATCH(G$3,rastreabilidade!$F$1:$H$1,0)),rastreabilidade!$M:$M,$J48,rastreabilidade!$N:$N,$AM48),0))
-IF($K48="",0,IFERROR(SUMIFS(INDEX(rastreabilidade!$F:$H,0,MATCH(G$3,rastreabilidade!$F$1:$H$1,0)),rastreabilidade!$M:$M,$K48,rastreabilidade!$N:$N,$AM48),0))
-IF($L48="",0,IFERROR(SUMIFS(INDEX(rastreabilidade!$F:$H,0,MATCH(G$3,rastreabilidade!$F$1:$H$1,0)),rastreabilidade!$M:$M,$L48,rastreabilidade!$N:$N,$AM48),0))
-IF($M48="",0,IFERROR(SUMIFS(INDEX(rastreabilidade!$F:$H,0,MATCH(G$3,rastreabilidade!$F$1:$H$1,0)),rastreabilidade!$M:$M,$M48,rastreabilidade!$N:$N,$AM48),0))</f>
        <v>0</v>
      </c>
      <c r="H48" s="36"/>
      <c r="I48" s="155" t="str" cm="1">
        <f t="array" ref="I48">_xlfn.LET(
_xlpm.mem,H48,
_xlpm.retiradas,J48:M48,
_xlpm.adicoes,N48:Q48,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48" s="54"/>
      <c r="K48" s="54"/>
      <c r="L48" s="54"/>
      <c r="M48" s="54"/>
      <c r="N48" s="58"/>
      <c r="O48" s="58"/>
      <c r="P48" s="58"/>
      <c r="Q48" s="58"/>
      <c r="R48" s="4"/>
      <c r="S48" s="4"/>
      <c r="T48" s="4"/>
      <c r="U48" s="45"/>
      <c r="V48" s="4"/>
      <c r="W48" s="4"/>
      <c r="X48" s="4"/>
      <c r="Y48" s="4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L48" s="5"/>
      <c r="AM48" s="5" t="str">
        <f t="shared" si="3"/>
        <v>Dividas Fiscais de Curto Prazo|Passivo|Circulante</v>
      </c>
      <c r="AN48" s="5"/>
      <c r="AO48" s="5"/>
      <c r="AP48" s="5"/>
      <c r="AQ48" s="6"/>
      <c r="AR48" s="7"/>
      <c r="AS48" s="7"/>
      <c r="AT48" s="7"/>
    </row>
    <row r="49" spans="1:46" ht="35.1" customHeight="1" x14ac:dyDescent="0.25">
      <c r="A49" s="81" t="s">
        <v>97</v>
      </c>
      <c r="B49" s="125">
        <f>IFERROR(SUMIFS(INDEX(rastreabilidade!$F:$H,0,MATCH($B$2,rastreabilidade!$F$1:$H$1,0)),rastreabilidade!$K:$K,$A49,rastreabilidade!$D:$D,"Sim"),0)</f>
        <v>0</v>
      </c>
      <c r="C49" s="35"/>
      <c r="D49" s="4"/>
      <c r="E49" s="125">
        <f>IFERROR(SUMIFS(INDEX(rastreabilidade!$F:$H,0,MATCH(E$3,rastreabilidade!$F$1:$H$1,0)),rastreabilidade!$N:$N,$AM49),0)
+IF($N49="",0,IFERROR(SUMIFS(INDEX(rastreabilidade!$F:$H,0,MATCH(E$3,rastreabilidade!$F$1:$H$1,0)),rastreabilidade!$M:$M,$N49),0))
+IF($O49="",0,IFERROR(SUMIFS(INDEX(rastreabilidade!$F:$H,0,MATCH(E$3,rastreabilidade!$F$1:$H$1,0)),rastreabilidade!$M:$M,$O49),0))
+IF($P49="",0,IFERROR(SUMIFS(INDEX(rastreabilidade!$F:$H,0,MATCH(E$3,rastreabilidade!$F$1:$H$1,0)),rastreabilidade!$M:$M,$P49),0))
+IF($Q49="",0,IFERROR(SUMIFS(INDEX(rastreabilidade!$F:$H,0,MATCH(E$3,rastreabilidade!$F$1:$H$1,0)),rastreabilidade!$M:$M,$Q49),0))
-IF($J49="",0,IFERROR(SUMIFS(INDEX(rastreabilidade!$F:$H,0,MATCH(E$3,rastreabilidade!$F$1:$H$1,0)),rastreabilidade!$M:$M,$J49,rastreabilidade!$N:$N,$AM49),0))
-IF($K49="",0,IFERROR(SUMIFS(INDEX(rastreabilidade!$F:$H,0,MATCH(E$3,rastreabilidade!$F$1:$H$1,0)),rastreabilidade!$M:$M,$K49,rastreabilidade!$N:$N,$AM49),0))
-IF($L49="",0,IFERROR(SUMIFS(INDEX(rastreabilidade!$F:$H,0,MATCH(E$3,rastreabilidade!$F$1:$H$1,0)),rastreabilidade!$M:$M,$L49,rastreabilidade!$N:$N,$AM49),0))
-IF($M49="",0,IFERROR(SUMIFS(INDEX(rastreabilidade!$F:$H,0,MATCH(E$3,rastreabilidade!$F$1:$H$1,0)),rastreabilidade!$M:$M,$M49,rastreabilidade!$N:$N,$AM49),0))</f>
        <v>0</v>
      </c>
      <c r="F49" s="125">
        <f>IFERROR(SUMIFS(INDEX(rastreabilidade!$F:$H,0,MATCH(F$3,rastreabilidade!$F$1:$H$1,0)),rastreabilidade!$N:$N,$AM49),0)
+IF($N49="",0,IFERROR(SUMIFS(INDEX(rastreabilidade!$F:$H,0,MATCH(F$3,rastreabilidade!$F$1:$H$1,0)),rastreabilidade!$M:$M,$N49),0))
+IF($O49="",0,IFERROR(SUMIFS(INDEX(rastreabilidade!$F:$H,0,MATCH(F$3,rastreabilidade!$F$1:$H$1,0)),rastreabilidade!$M:$M,$O49),0))
+IF($P49="",0,IFERROR(SUMIFS(INDEX(rastreabilidade!$F:$H,0,MATCH(F$3,rastreabilidade!$F$1:$H$1,0)),rastreabilidade!$M:$M,$P49),0))
+IF($Q49="",0,IFERROR(SUMIFS(INDEX(rastreabilidade!$F:$H,0,MATCH(F$3,rastreabilidade!$F$1:$H$1,0)),rastreabilidade!$M:$M,$Q49),0))
-IF($J49="",0,IFERROR(SUMIFS(INDEX(rastreabilidade!$F:$H,0,MATCH(F$3,rastreabilidade!$F$1:$H$1,0)),rastreabilidade!$M:$M,$J49,rastreabilidade!$N:$N,$AM49),0))
-IF($K49="",0,IFERROR(SUMIFS(INDEX(rastreabilidade!$F:$H,0,MATCH(F$3,rastreabilidade!$F$1:$H$1,0)),rastreabilidade!$M:$M,$K49,rastreabilidade!$N:$N,$AM49),0))
-IF($L49="",0,IFERROR(SUMIFS(INDEX(rastreabilidade!$F:$H,0,MATCH(F$3,rastreabilidade!$F$1:$H$1,0)),rastreabilidade!$M:$M,$L49,rastreabilidade!$N:$N,$AM49),0))
-IF($M49="",0,IFERROR(SUMIFS(INDEX(rastreabilidade!$F:$H,0,MATCH(F$3,rastreabilidade!$F$1:$H$1,0)),rastreabilidade!$M:$M,$M49,rastreabilidade!$N:$N,$AM49),0))</f>
        <v>0</v>
      </c>
      <c r="G49" s="126">
        <f>IFERROR(SUMIFS(INDEX(rastreabilidade!$F:$H,0,MATCH(G$3,rastreabilidade!$F$1:$H$1,0)),rastreabilidade!$N:$N,$AM49),0)
+IF($N49="",0,IFERROR(SUMIFS(INDEX(rastreabilidade!$F:$H,0,MATCH(G$3,rastreabilidade!$F$1:$H$1,0)),rastreabilidade!$M:$M,$N49),0))
+IF($O49="",0,IFERROR(SUMIFS(INDEX(rastreabilidade!$F:$H,0,MATCH(G$3,rastreabilidade!$F$1:$H$1,0)),rastreabilidade!$M:$M,$O49),0))
+IF($P49="",0,IFERROR(SUMIFS(INDEX(rastreabilidade!$F:$H,0,MATCH(G$3,rastreabilidade!$F$1:$H$1,0)),rastreabilidade!$M:$M,$P49),0))
+IF($Q49="",0,IFERROR(SUMIFS(INDEX(rastreabilidade!$F:$H,0,MATCH(G$3,rastreabilidade!$F$1:$H$1,0)),rastreabilidade!$M:$M,$Q49),0))
-IF($J49="",0,IFERROR(SUMIFS(INDEX(rastreabilidade!$F:$H,0,MATCH(G$3,rastreabilidade!$F$1:$H$1,0)),rastreabilidade!$M:$M,$J49,rastreabilidade!$N:$N,$AM49),0))
-IF($K49="",0,IFERROR(SUMIFS(INDEX(rastreabilidade!$F:$H,0,MATCH(G$3,rastreabilidade!$F$1:$H$1,0)),rastreabilidade!$M:$M,$K49,rastreabilidade!$N:$N,$AM49),0))
-IF($L49="",0,IFERROR(SUMIFS(INDEX(rastreabilidade!$F:$H,0,MATCH(G$3,rastreabilidade!$F$1:$H$1,0)),rastreabilidade!$M:$M,$L49,rastreabilidade!$N:$N,$AM49),0))
-IF($M49="",0,IFERROR(SUMIFS(INDEX(rastreabilidade!$F:$H,0,MATCH(G$3,rastreabilidade!$F$1:$H$1,0)),rastreabilidade!$M:$M,$M49,rastreabilidade!$N:$N,$AM49),0))</f>
        <v>0</v>
      </c>
      <c r="H49" s="36"/>
      <c r="I49" s="155" t="str" cm="1">
        <f t="array" ref="I49">_xlfn.LET(
_xlpm.mem,H49,
_xlpm.retiradas,J49:M49,
_xlpm.adicoes,N49:Q49,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49" s="54"/>
      <c r="K49" s="54"/>
      <c r="L49" s="54"/>
      <c r="M49" s="54"/>
      <c r="N49" s="58"/>
      <c r="O49" s="58"/>
      <c r="P49" s="58"/>
      <c r="Q49" s="58"/>
      <c r="R49" s="4"/>
      <c r="S49" s="4"/>
      <c r="T49" s="4"/>
      <c r="U49" s="45"/>
      <c r="V49" s="4"/>
      <c r="W49" s="4"/>
      <c r="X49" s="4"/>
      <c r="Y49" s="4"/>
      <c r="Z49" s="45"/>
      <c r="AA49" s="45"/>
      <c r="AB49" s="45"/>
      <c r="AC49" s="45"/>
      <c r="AD49" s="45"/>
      <c r="AE49" s="45"/>
      <c r="AF49" s="45"/>
      <c r="AG49" s="45"/>
      <c r="AH49" s="45"/>
      <c r="AI49" s="45"/>
      <c r="AJ49" s="45"/>
      <c r="AL49" s="5"/>
      <c r="AM49" s="5" t="str">
        <f t="shared" si="3"/>
        <v>Ajustes derivativos / cambio (+)|Passivo|Circulante</v>
      </c>
      <c r="AN49" s="5"/>
      <c r="AO49" s="5"/>
      <c r="AP49" s="5"/>
      <c r="AQ49" s="6"/>
      <c r="AR49" s="7"/>
      <c r="AS49" s="7"/>
      <c r="AT49" s="7"/>
    </row>
    <row r="50" spans="1:46" ht="35.1" customHeight="1" x14ac:dyDescent="0.25">
      <c r="A50" s="184" t="s">
        <v>99</v>
      </c>
      <c r="B50" s="139">
        <f>IFERROR(SUMIFS(INDEX(rastreabilidade!$F:$H,0,MATCH($B$2,rastreabilidade!$F$1:$H$1,0)),rastreabilidade!$K:$K,$A50,rastreabilidade!$D:$D,"Sim"),0)</f>
        <v>0</v>
      </c>
      <c r="C50" s="35"/>
      <c r="D50" s="4"/>
      <c r="E50" s="131">
        <f>IFERROR(SUMIFS(INDEX(rastreabilidade!$F:$H,0,MATCH(E$3,rastreabilidade!$F$1:$H$1,0)),rastreabilidade!$N:$N,$AM50),0)
+IF($N50="",0,IFERROR(SUMIFS(INDEX(rastreabilidade!$F:$H,0,MATCH(E$3,rastreabilidade!$F$1:$H$1,0)),rastreabilidade!$M:$M,$N50),0))
+IF($O50="",0,IFERROR(SUMIFS(INDEX(rastreabilidade!$F:$H,0,MATCH(E$3,rastreabilidade!$F$1:$H$1,0)),rastreabilidade!$M:$M,$O50),0))
+IF($P50="",0,IFERROR(SUMIFS(INDEX(rastreabilidade!$F:$H,0,MATCH(E$3,rastreabilidade!$F$1:$H$1,0)),rastreabilidade!$M:$M,$P50),0))
+IF($Q50="",0,IFERROR(SUMIFS(INDEX(rastreabilidade!$F:$H,0,MATCH(E$3,rastreabilidade!$F$1:$H$1,0)),rastreabilidade!$M:$M,$Q50),0))
-IF($J50="",0,IFERROR(SUMIFS(INDEX(rastreabilidade!$F:$H,0,MATCH(E$3,rastreabilidade!$F$1:$H$1,0)),rastreabilidade!$M:$M,$J50,rastreabilidade!$N:$N,$AM50),0))
-IF($K50="",0,IFERROR(SUMIFS(INDEX(rastreabilidade!$F:$H,0,MATCH(E$3,rastreabilidade!$F$1:$H$1,0)),rastreabilidade!$M:$M,$K50,rastreabilidade!$N:$N,$AM50),0))
-IF($L50="",0,IFERROR(SUMIFS(INDEX(rastreabilidade!$F:$H,0,MATCH(E$3,rastreabilidade!$F$1:$H$1,0)),rastreabilidade!$M:$M,$L50,rastreabilidade!$N:$N,$AM50),0))
-IF($M50="",0,IFERROR(SUMIFS(INDEX(rastreabilidade!$F:$H,0,MATCH(E$3,rastreabilidade!$F$1:$H$1,0)),rastreabilidade!$M:$M,$M50,rastreabilidade!$N:$N,$AM50),0))</f>
        <v>0</v>
      </c>
      <c r="F50" s="139">
        <f>IFERROR(SUMIFS(INDEX(rastreabilidade!$F:$H,0,MATCH(F$3,rastreabilidade!$F$1:$H$1,0)),rastreabilidade!$N:$N,$AM50),0)
+IF($N50="",0,IFERROR(SUMIFS(INDEX(rastreabilidade!$F:$H,0,MATCH(F$3,rastreabilidade!$F$1:$H$1,0)),rastreabilidade!$M:$M,$N50),0))
+IF($O50="",0,IFERROR(SUMIFS(INDEX(rastreabilidade!$F:$H,0,MATCH(F$3,rastreabilidade!$F$1:$H$1,0)),rastreabilidade!$M:$M,$O50),0))
+IF($P50="",0,IFERROR(SUMIFS(INDEX(rastreabilidade!$F:$H,0,MATCH(F$3,rastreabilidade!$F$1:$H$1,0)),rastreabilidade!$M:$M,$P50),0))
+IF($Q50="",0,IFERROR(SUMIFS(INDEX(rastreabilidade!$F:$H,0,MATCH(F$3,rastreabilidade!$F$1:$H$1,0)),rastreabilidade!$M:$M,$Q50),0))
-IF($J50="",0,IFERROR(SUMIFS(INDEX(rastreabilidade!$F:$H,0,MATCH(F$3,rastreabilidade!$F$1:$H$1,0)),rastreabilidade!$M:$M,$J50,rastreabilidade!$N:$N,$AM50),0))
-IF($K50="",0,IFERROR(SUMIFS(INDEX(rastreabilidade!$F:$H,0,MATCH(F$3,rastreabilidade!$F$1:$H$1,0)),rastreabilidade!$M:$M,$K50,rastreabilidade!$N:$N,$AM50),0))
-IF($L50="",0,IFERROR(SUMIFS(INDEX(rastreabilidade!$F:$H,0,MATCH(F$3,rastreabilidade!$F$1:$H$1,0)),rastreabilidade!$M:$M,$L50,rastreabilidade!$N:$N,$AM50),0))
-IF($M50="",0,IFERROR(SUMIFS(INDEX(rastreabilidade!$F:$H,0,MATCH(F$3,rastreabilidade!$F$1:$H$1,0)),rastreabilidade!$M:$M,$M50,rastreabilidade!$N:$N,$AM50),0))</f>
        <v>0</v>
      </c>
      <c r="G50" s="140">
        <f>IFERROR(SUMIFS(INDEX(rastreabilidade!$F:$H,0,MATCH(G$3,rastreabilidade!$F$1:$H$1,0)),rastreabilidade!$N:$N,$AM50),0)
+IF($N50="",0,IFERROR(SUMIFS(INDEX(rastreabilidade!$F:$H,0,MATCH(G$3,rastreabilidade!$F$1:$H$1,0)),rastreabilidade!$M:$M,$N50),0))
+IF($O50="",0,IFERROR(SUMIFS(INDEX(rastreabilidade!$F:$H,0,MATCH(G$3,rastreabilidade!$F$1:$H$1,0)),rastreabilidade!$M:$M,$O50),0))
+IF($P50="",0,IFERROR(SUMIFS(INDEX(rastreabilidade!$F:$H,0,MATCH(G$3,rastreabilidade!$F$1:$H$1,0)),rastreabilidade!$M:$M,$P50),0))
+IF($Q50="",0,IFERROR(SUMIFS(INDEX(rastreabilidade!$F:$H,0,MATCH(G$3,rastreabilidade!$F$1:$H$1,0)),rastreabilidade!$M:$M,$Q50),0))
-IF($J50="",0,IFERROR(SUMIFS(INDEX(rastreabilidade!$F:$H,0,MATCH(G$3,rastreabilidade!$F$1:$H$1,0)),rastreabilidade!$M:$M,$J50,rastreabilidade!$N:$N,$AM50),0))
-IF($K50="",0,IFERROR(SUMIFS(INDEX(rastreabilidade!$F:$H,0,MATCH(G$3,rastreabilidade!$F$1:$H$1,0)),rastreabilidade!$M:$M,$K50,rastreabilidade!$N:$N,$AM50),0))
-IF($L50="",0,IFERROR(SUMIFS(INDEX(rastreabilidade!$F:$H,0,MATCH(G$3,rastreabilidade!$F$1:$H$1,0)),rastreabilidade!$M:$M,$L50,rastreabilidade!$N:$N,$AM50),0))
-IF($M50="",0,IFERROR(SUMIFS(INDEX(rastreabilidade!$F:$H,0,MATCH(G$3,rastreabilidade!$F$1:$H$1,0)),rastreabilidade!$M:$M,$M50,rastreabilidade!$N:$N,$AM50),0))</f>
        <v>0</v>
      </c>
      <c r="H50" s="36"/>
      <c r="I50" s="155" t="str" cm="1">
        <f t="array" ref="I50">_xlfn.LET(
_xlpm.mem,H50,
_xlpm.retiradas,J50:M50,
_xlpm.adicoes,N50:Q50,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0" s="54"/>
      <c r="K50" s="54"/>
      <c r="L50" s="54"/>
      <c r="M50" s="54"/>
      <c r="N50" s="58"/>
      <c r="O50" s="58"/>
      <c r="P50" s="58"/>
      <c r="Q50" s="58"/>
      <c r="R50" s="4"/>
      <c r="S50" s="4"/>
      <c r="T50" s="4"/>
      <c r="U50" s="45"/>
      <c r="V50" s="4"/>
      <c r="W50" s="4"/>
      <c r="X50" s="4"/>
      <c r="Y50" s="4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L50" s="5"/>
      <c r="AM50" s="5" t="str">
        <f t="shared" si="3"/>
        <v>Fornecedores|Passivo|Circulante</v>
      </c>
      <c r="AN50" s="5"/>
      <c r="AO50" s="5"/>
      <c r="AP50" s="5"/>
      <c r="AQ50" s="6"/>
      <c r="AR50" s="7"/>
      <c r="AS50" s="7"/>
      <c r="AT50" s="7"/>
    </row>
    <row r="51" spans="1:46" ht="35.1" customHeight="1" x14ac:dyDescent="0.25">
      <c r="A51" s="78" t="s">
        <v>98</v>
      </c>
      <c r="B51" s="139">
        <f>IFERROR(SUMIFS(INDEX(rastreabilidade!$F:$H,0,MATCH($B$2,rastreabilidade!$F$1:$H$1,0)),rastreabilidade!$K:$K,$A51,rastreabilidade!$D:$D,"Sim"),0)</f>
        <v>0</v>
      </c>
      <c r="C51" s="35"/>
      <c r="D51" s="4"/>
      <c r="E51" s="131">
        <f>IFERROR(SUMIFS(INDEX(rastreabilidade!$F:$H,0,MATCH(E$3,rastreabilidade!$F$1:$H$1,0)),rastreabilidade!$N:$N,$AM51),0)
+IF($N51="",0,IFERROR(SUMIFS(INDEX(rastreabilidade!$F:$H,0,MATCH(E$3,rastreabilidade!$F$1:$H$1,0)),rastreabilidade!$M:$M,$N51),0))
+IF($O51="",0,IFERROR(SUMIFS(INDEX(rastreabilidade!$F:$H,0,MATCH(E$3,rastreabilidade!$F$1:$H$1,0)),rastreabilidade!$M:$M,$O51),0))
+IF($P51="",0,IFERROR(SUMIFS(INDEX(rastreabilidade!$F:$H,0,MATCH(E$3,rastreabilidade!$F$1:$H$1,0)),rastreabilidade!$M:$M,$P51),0))
+IF($Q51="",0,IFERROR(SUMIFS(INDEX(rastreabilidade!$F:$H,0,MATCH(E$3,rastreabilidade!$F$1:$H$1,0)),rastreabilidade!$M:$M,$Q51),0))
-IF($J51="",0,IFERROR(SUMIFS(INDEX(rastreabilidade!$F:$H,0,MATCH(E$3,rastreabilidade!$F$1:$H$1,0)),rastreabilidade!$M:$M,$J51,rastreabilidade!$N:$N,$AM51),0))
-IF($K51="",0,IFERROR(SUMIFS(INDEX(rastreabilidade!$F:$H,0,MATCH(E$3,rastreabilidade!$F$1:$H$1,0)),rastreabilidade!$M:$M,$K51,rastreabilidade!$N:$N,$AM51),0))
-IF($L51="",0,IFERROR(SUMIFS(INDEX(rastreabilidade!$F:$H,0,MATCH(E$3,rastreabilidade!$F$1:$H$1,0)),rastreabilidade!$M:$M,$L51,rastreabilidade!$N:$N,$AM51),0))
-IF($M51="",0,IFERROR(SUMIFS(INDEX(rastreabilidade!$F:$H,0,MATCH(E$3,rastreabilidade!$F$1:$H$1,0)),rastreabilidade!$M:$M,$M51,rastreabilidade!$N:$N,$AM51),0))</f>
        <v>0</v>
      </c>
      <c r="F51" s="139">
        <f>IFERROR(SUMIFS(INDEX(rastreabilidade!$F:$H,0,MATCH(F$3,rastreabilidade!$F$1:$H$1,0)),rastreabilidade!$N:$N,$AM51),0)
+IF($N51="",0,IFERROR(SUMIFS(INDEX(rastreabilidade!$F:$H,0,MATCH(F$3,rastreabilidade!$F$1:$H$1,0)),rastreabilidade!$M:$M,$N51),0))
+IF($O51="",0,IFERROR(SUMIFS(INDEX(rastreabilidade!$F:$H,0,MATCH(F$3,rastreabilidade!$F$1:$H$1,0)),rastreabilidade!$M:$M,$O51),0))
+IF($P51="",0,IFERROR(SUMIFS(INDEX(rastreabilidade!$F:$H,0,MATCH(F$3,rastreabilidade!$F$1:$H$1,0)),rastreabilidade!$M:$M,$P51),0))
+IF($Q51="",0,IFERROR(SUMIFS(INDEX(rastreabilidade!$F:$H,0,MATCH(F$3,rastreabilidade!$F$1:$H$1,0)),rastreabilidade!$M:$M,$Q51),0))
-IF($J51="",0,IFERROR(SUMIFS(INDEX(rastreabilidade!$F:$H,0,MATCH(F$3,rastreabilidade!$F$1:$H$1,0)),rastreabilidade!$M:$M,$J51,rastreabilidade!$N:$N,$AM51),0))
-IF($K51="",0,IFERROR(SUMIFS(INDEX(rastreabilidade!$F:$H,0,MATCH(F$3,rastreabilidade!$F$1:$H$1,0)),rastreabilidade!$M:$M,$K51,rastreabilidade!$N:$N,$AM51),0))
-IF($L51="",0,IFERROR(SUMIFS(INDEX(rastreabilidade!$F:$H,0,MATCH(F$3,rastreabilidade!$F$1:$H$1,0)),rastreabilidade!$M:$M,$L51,rastreabilidade!$N:$N,$AM51),0))
-IF($M51="",0,IFERROR(SUMIFS(INDEX(rastreabilidade!$F:$H,0,MATCH(F$3,rastreabilidade!$F$1:$H$1,0)),rastreabilidade!$M:$M,$M51,rastreabilidade!$N:$N,$AM51),0))</f>
        <v>0</v>
      </c>
      <c r="G51" s="140">
        <f>IFERROR(SUMIFS(INDEX(rastreabilidade!$F:$H,0,MATCH(G$3,rastreabilidade!$F$1:$H$1,0)),rastreabilidade!$N:$N,$AM51),0)
+IF($N51="",0,IFERROR(SUMIFS(INDEX(rastreabilidade!$F:$H,0,MATCH(G$3,rastreabilidade!$F$1:$H$1,0)),rastreabilidade!$M:$M,$N51),0))
+IF($O51="",0,IFERROR(SUMIFS(INDEX(rastreabilidade!$F:$H,0,MATCH(G$3,rastreabilidade!$F$1:$H$1,0)),rastreabilidade!$M:$M,$O51),0))
+IF($P51="",0,IFERROR(SUMIFS(INDEX(rastreabilidade!$F:$H,0,MATCH(G$3,rastreabilidade!$F$1:$H$1,0)),rastreabilidade!$M:$M,$P51),0))
+IF($Q51="",0,IFERROR(SUMIFS(INDEX(rastreabilidade!$F:$H,0,MATCH(G$3,rastreabilidade!$F$1:$H$1,0)),rastreabilidade!$M:$M,$Q51),0))
-IF($J51="",0,IFERROR(SUMIFS(INDEX(rastreabilidade!$F:$H,0,MATCH(G$3,rastreabilidade!$F$1:$H$1,0)),rastreabilidade!$M:$M,$J51,rastreabilidade!$N:$N,$AM51),0))
-IF($K51="",0,IFERROR(SUMIFS(INDEX(rastreabilidade!$F:$H,0,MATCH(G$3,rastreabilidade!$F$1:$H$1,0)),rastreabilidade!$M:$M,$K51,rastreabilidade!$N:$N,$AM51),0))
-IF($L51="",0,IFERROR(SUMIFS(INDEX(rastreabilidade!$F:$H,0,MATCH(G$3,rastreabilidade!$F$1:$H$1,0)),rastreabilidade!$M:$M,$L51,rastreabilidade!$N:$N,$AM51),0))
-IF($M51="",0,IFERROR(SUMIFS(INDEX(rastreabilidade!$F:$H,0,MATCH(G$3,rastreabilidade!$F$1:$H$1,0)),rastreabilidade!$M:$M,$M51,rastreabilidade!$N:$N,$AM51),0))</f>
        <v>0</v>
      </c>
      <c r="H51" s="36"/>
      <c r="I51" s="155" t="str" cm="1">
        <f t="array" ref="I51">_xlfn.LET(
_xlpm.mem,H51,
_xlpm.retiradas,J51:M51,
_xlpm.adicoes,N51:Q51,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1" s="54"/>
      <c r="K51" s="54"/>
      <c r="L51" s="54"/>
      <c r="M51" s="54"/>
      <c r="N51" s="58"/>
      <c r="O51" s="58"/>
      <c r="P51" s="58"/>
      <c r="Q51" s="58"/>
      <c r="R51" s="4"/>
      <c r="S51" s="4"/>
      <c r="T51" s="4"/>
      <c r="U51" s="45"/>
      <c r="V51" s="4"/>
      <c r="W51" s="4"/>
      <c r="X51" s="4"/>
      <c r="Y51" s="4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L51" s="5"/>
      <c r="AM51" s="5" t="str">
        <f t="shared" si="3"/>
        <v>Fornecedores - Partes Relacionadas|Passivo|Circulante</v>
      </c>
      <c r="AN51" s="5"/>
      <c r="AO51" s="5"/>
      <c r="AP51" s="5"/>
      <c r="AQ51" s="6"/>
      <c r="AR51" s="7"/>
      <c r="AS51" s="7"/>
      <c r="AT51" s="7"/>
    </row>
    <row r="52" spans="1:46" ht="35.1" customHeight="1" x14ac:dyDescent="0.25">
      <c r="A52" s="185" t="s">
        <v>174</v>
      </c>
      <c r="B52" s="123">
        <f>B50+B51</f>
        <v>0</v>
      </c>
      <c r="C52" s="55"/>
      <c r="D52" s="4"/>
      <c r="E52" s="123">
        <f>E50+E51</f>
        <v>0</v>
      </c>
      <c r="F52" s="123">
        <f>F50+F51</f>
        <v>0</v>
      </c>
      <c r="G52" s="124">
        <f>G50+G51</f>
        <v>0</v>
      </c>
      <c r="H52" s="41"/>
      <c r="I52" s="151"/>
      <c r="J52" s="55"/>
      <c r="K52" s="55"/>
      <c r="L52" s="55"/>
      <c r="M52" s="55"/>
      <c r="N52" s="55"/>
      <c r="O52" s="55"/>
      <c r="P52" s="55"/>
      <c r="Q52" s="55"/>
      <c r="R52" s="4"/>
      <c r="S52" s="4"/>
      <c r="T52" s="4"/>
      <c r="U52" s="45"/>
      <c r="V52" s="4"/>
      <c r="W52" s="4"/>
      <c r="X52" s="4"/>
      <c r="Y52" s="4"/>
      <c r="Z52" s="45"/>
      <c r="AA52" s="45"/>
      <c r="AB52" s="45"/>
      <c r="AC52" s="45"/>
      <c r="AD52" s="45"/>
      <c r="AE52" s="45"/>
      <c r="AF52" s="45"/>
      <c r="AG52" s="45"/>
      <c r="AH52" s="45"/>
      <c r="AI52" s="45"/>
      <c r="AJ52" s="45"/>
      <c r="AL52" s="5"/>
      <c r="AM52" s="5" t="str">
        <f t="shared" si="3"/>
        <v>Fornecedores Totais|Passivo|Circulante</v>
      </c>
      <c r="AN52" s="5"/>
      <c r="AO52" s="5"/>
      <c r="AP52" s="5"/>
      <c r="AQ52" s="6"/>
      <c r="AR52" s="7"/>
      <c r="AS52" s="7"/>
      <c r="AT52" s="7"/>
    </row>
    <row r="53" spans="1:46" ht="35.1" customHeight="1" x14ac:dyDescent="0.25">
      <c r="A53" s="89" t="s">
        <v>100</v>
      </c>
      <c r="B53" s="141">
        <f>IFERROR(SUMIFS(INDEX(rastreabilidade!$F:$H,0,MATCH($B$2,rastreabilidade!$F$1:$H$1,0)),rastreabilidade!$K:$K,$A53,rastreabilidade!$D:$D,"Sim"),0)</f>
        <v>0</v>
      </c>
      <c r="C53" s="35"/>
      <c r="D53" s="4"/>
      <c r="E53" s="141">
        <f>IFERROR(SUMIFS(INDEX(rastreabilidade!$F:$H,0,MATCH(E$3,rastreabilidade!$F$1:$H$1,0)),rastreabilidade!$N:$N,$AM53),0)
+IF($N53="",0,IFERROR(SUMIFS(INDEX(rastreabilidade!$F:$H,0,MATCH(E$3,rastreabilidade!$F$1:$H$1,0)),rastreabilidade!$M:$M,$N53),0))
+IF($O53="",0,IFERROR(SUMIFS(INDEX(rastreabilidade!$F:$H,0,MATCH(E$3,rastreabilidade!$F$1:$H$1,0)),rastreabilidade!$M:$M,$O53),0))
+IF($P53="",0,IFERROR(SUMIFS(INDEX(rastreabilidade!$F:$H,0,MATCH(E$3,rastreabilidade!$F$1:$H$1,0)),rastreabilidade!$M:$M,$P53),0))
+IF($Q53="",0,IFERROR(SUMIFS(INDEX(rastreabilidade!$F:$H,0,MATCH(E$3,rastreabilidade!$F$1:$H$1,0)),rastreabilidade!$M:$M,$Q53),0))
-IF($J53="",0,IFERROR(SUMIFS(INDEX(rastreabilidade!$F:$H,0,MATCH(E$3,rastreabilidade!$F$1:$H$1,0)),rastreabilidade!$M:$M,$J53,rastreabilidade!$N:$N,$AM53),0))
-IF($K53="",0,IFERROR(SUMIFS(INDEX(rastreabilidade!$F:$H,0,MATCH(E$3,rastreabilidade!$F$1:$H$1,0)),rastreabilidade!$M:$M,$K53,rastreabilidade!$N:$N,$AM53),0))
-IF($L53="",0,IFERROR(SUMIFS(INDEX(rastreabilidade!$F:$H,0,MATCH(E$3,rastreabilidade!$F$1:$H$1,0)),rastreabilidade!$M:$M,$L53,rastreabilidade!$N:$N,$AM53),0))
-IF($M53="",0,IFERROR(SUMIFS(INDEX(rastreabilidade!$F:$H,0,MATCH(E$3,rastreabilidade!$F$1:$H$1,0)),rastreabilidade!$M:$M,$M53,rastreabilidade!$N:$N,$AM53),0))</f>
        <v>0</v>
      </c>
      <c r="F53" s="141">
        <f>IFERROR(SUMIFS(INDEX(rastreabilidade!$F:$H,0,MATCH(F$3,rastreabilidade!$F$1:$H$1,0)),rastreabilidade!$N:$N,$AM53),0)
+IF($N53="",0,IFERROR(SUMIFS(INDEX(rastreabilidade!$F:$H,0,MATCH(F$3,rastreabilidade!$F$1:$H$1,0)),rastreabilidade!$M:$M,$N53),0))
+IF($O53="",0,IFERROR(SUMIFS(INDEX(rastreabilidade!$F:$H,0,MATCH(F$3,rastreabilidade!$F$1:$H$1,0)),rastreabilidade!$M:$M,$O53),0))
+IF($P53="",0,IFERROR(SUMIFS(INDEX(rastreabilidade!$F:$H,0,MATCH(F$3,rastreabilidade!$F$1:$H$1,0)),rastreabilidade!$M:$M,$P53),0))
+IF($Q53="",0,IFERROR(SUMIFS(INDEX(rastreabilidade!$F:$H,0,MATCH(F$3,rastreabilidade!$F$1:$H$1,0)),rastreabilidade!$M:$M,$Q53),0))
-IF($J53="",0,IFERROR(SUMIFS(INDEX(rastreabilidade!$F:$H,0,MATCH(F$3,rastreabilidade!$F$1:$H$1,0)),rastreabilidade!$M:$M,$J53,rastreabilidade!$N:$N,$AM53),0))
-IF($K53="",0,IFERROR(SUMIFS(INDEX(rastreabilidade!$F:$H,0,MATCH(F$3,rastreabilidade!$F$1:$H$1,0)),rastreabilidade!$M:$M,$K53,rastreabilidade!$N:$N,$AM53),0))
-IF($L53="",0,IFERROR(SUMIFS(INDEX(rastreabilidade!$F:$H,0,MATCH(F$3,rastreabilidade!$F$1:$H$1,0)),rastreabilidade!$M:$M,$L53,rastreabilidade!$N:$N,$AM53),0))
-IF($M53="",0,IFERROR(SUMIFS(INDEX(rastreabilidade!$F:$H,0,MATCH(F$3,rastreabilidade!$F$1:$H$1,0)),rastreabilidade!$M:$M,$M53,rastreabilidade!$N:$N,$AM53),0))</f>
        <v>0</v>
      </c>
      <c r="G53" s="142">
        <f>IFERROR(SUMIFS(INDEX(rastreabilidade!$F:$H,0,MATCH(G$3,rastreabilidade!$F$1:$H$1,0)),rastreabilidade!$N:$N,$AM53),0)
+IF($N53="",0,IFERROR(SUMIFS(INDEX(rastreabilidade!$F:$H,0,MATCH(G$3,rastreabilidade!$F$1:$H$1,0)),rastreabilidade!$M:$M,$N53),0))
+IF($O53="",0,IFERROR(SUMIFS(INDEX(rastreabilidade!$F:$H,0,MATCH(G$3,rastreabilidade!$F$1:$H$1,0)),rastreabilidade!$M:$M,$O53),0))
+IF($P53="",0,IFERROR(SUMIFS(INDEX(rastreabilidade!$F:$H,0,MATCH(G$3,rastreabilidade!$F$1:$H$1,0)),rastreabilidade!$M:$M,$P53),0))
+IF($Q53="",0,IFERROR(SUMIFS(INDEX(rastreabilidade!$F:$H,0,MATCH(G$3,rastreabilidade!$F$1:$H$1,0)),rastreabilidade!$M:$M,$Q53),0))
-IF($J53="",0,IFERROR(SUMIFS(INDEX(rastreabilidade!$F:$H,0,MATCH(G$3,rastreabilidade!$F$1:$H$1,0)),rastreabilidade!$M:$M,$J53,rastreabilidade!$N:$N,$AM53),0))
-IF($K53="",0,IFERROR(SUMIFS(INDEX(rastreabilidade!$F:$H,0,MATCH(G$3,rastreabilidade!$F$1:$H$1,0)),rastreabilidade!$M:$M,$K53,rastreabilidade!$N:$N,$AM53),0))
-IF($L53="",0,IFERROR(SUMIFS(INDEX(rastreabilidade!$F:$H,0,MATCH(G$3,rastreabilidade!$F$1:$H$1,0)),rastreabilidade!$M:$M,$L53,rastreabilidade!$N:$N,$AM53),0))
-IF($M53="",0,IFERROR(SUMIFS(INDEX(rastreabilidade!$F:$H,0,MATCH(G$3,rastreabilidade!$F$1:$H$1,0)),rastreabilidade!$M:$M,$M53,rastreabilidade!$N:$N,$AM53),0))</f>
        <v>0</v>
      </c>
      <c r="H53" s="36"/>
      <c r="I53" s="155" t="str" cm="1">
        <f t="array" ref="I53">_xlfn.LET(
_xlpm.mem,H53,
_xlpm.retiradas,J53:M53,
_xlpm.adicoes,N53:Q53,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3" s="54"/>
      <c r="K53" s="54"/>
      <c r="L53" s="54"/>
      <c r="M53" s="54"/>
      <c r="N53" s="58"/>
      <c r="O53" s="58"/>
      <c r="P53" s="58"/>
      <c r="Q53" s="58"/>
      <c r="R53" s="4"/>
      <c r="S53" s="4"/>
      <c r="T53" s="4"/>
      <c r="U53" s="45"/>
      <c r="V53" s="4"/>
      <c r="W53" s="4"/>
      <c r="X53" s="4"/>
      <c r="Y53" s="4"/>
      <c r="Z53" s="45"/>
      <c r="AA53" s="45"/>
      <c r="AB53" s="45"/>
      <c r="AC53" s="45"/>
      <c r="AD53" s="45"/>
      <c r="AE53" s="45"/>
      <c r="AF53" s="45"/>
      <c r="AG53" s="45"/>
      <c r="AH53" s="45"/>
      <c r="AI53" s="45"/>
      <c r="AJ53" s="45"/>
      <c r="AL53" s="5"/>
      <c r="AM53" s="5" t="str">
        <f t="shared" si="3"/>
        <v>Passivo de Arrendamento Circulante|Passivo|Circulante</v>
      </c>
      <c r="AN53" s="5"/>
      <c r="AO53" s="5"/>
      <c r="AP53" s="5"/>
      <c r="AQ53" s="6"/>
      <c r="AR53" s="7"/>
      <c r="AS53" s="7"/>
      <c r="AT53" s="7"/>
    </row>
    <row r="54" spans="1:46" ht="35.1" customHeight="1" x14ac:dyDescent="0.25">
      <c r="A54" s="78" t="s">
        <v>45</v>
      </c>
      <c r="B54" s="131">
        <f>IFERROR(SUMIFS(INDEX(rastreabilidade!$F:$H,0,MATCH($B$2,rastreabilidade!$F$1:$H$1,0)),rastreabilidade!$K:$K,$A54,rastreabilidade!$D:$D,"Sim"),0)</f>
        <v>0</v>
      </c>
      <c r="C54" s="35"/>
      <c r="D54" s="4"/>
      <c r="E54" s="131">
        <f>IFERROR(SUMIFS(INDEX(rastreabilidade!$F:$H,0,MATCH(E$3,rastreabilidade!$F$1:$H$1,0)),rastreabilidade!$N:$N,$AM54),0)
+IF($N54="",0,IFERROR(SUMIFS(INDEX(rastreabilidade!$F:$H,0,MATCH(E$3,rastreabilidade!$F$1:$H$1,0)),rastreabilidade!$M:$M,$N54),0))
+IF($O54="",0,IFERROR(SUMIFS(INDEX(rastreabilidade!$F:$H,0,MATCH(E$3,rastreabilidade!$F$1:$H$1,0)),rastreabilidade!$M:$M,$O54),0))
+IF($P54="",0,IFERROR(SUMIFS(INDEX(rastreabilidade!$F:$H,0,MATCH(E$3,rastreabilidade!$F$1:$H$1,0)),rastreabilidade!$M:$M,$P54),0))
+IF($Q54="",0,IFERROR(SUMIFS(INDEX(rastreabilidade!$F:$H,0,MATCH(E$3,rastreabilidade!$F$1:$H$1,0)),rastreabilidade!$M:$M,$Q54),0))
-IF($J54="",0,IFERROR(SUMIFS(INDEX(rastreabilidade!$F:$H,0,MATCH(E$3,rastreabilidade!$F$1:$H$1,0)),rastreabilidade!$M:$M,$J54,rastreabilidade!$N:$N,$AM54),0))
-IF($K54="",0,IFERROR(SUMIFS(INDEX(rastreabilidade!$F:$H,0,MATCH(E$3,rastreabilidade!$F$1:$H$1,0)),rastreabilidade!$M:$M,$K54,rastreabilidade!$N:$N,$AM54),0))
-IF($L54="",0,IFERROR(SUMIFS(INDEX(rastreabilidade!$F:$H,0,MATCH(E$3,rastreabilidade!$F$1:$H$1,0)),rastreabilidade!$M:$M,$L54,rastreabilidade!$N:$N,$AM54),0))
-IF($M54="",0,IFERROR(SUMIFS(INDEX(rastreabilidade!$F:$H,0,MATCH(E$3,rastreabilidade!$F$1:$H$1,0)),rastreabilidade!$M:$M,$M54,rastreabilidade!$N:$N,$AM54),0))</f>
        <v>0</v>
      </c>
      <c r="F54" s="131">
        <f>IFERROR(SUMIFS(INDEX(rastreabilidade!$F:$H,0,MATCH(F$3,rastreabilidade!$F$1:$H$1,0)),rastreabilidade!$N:$N,$AM54),0)
+IF($N54="",0,IFERROR(SUMIFS(INDEX(rastreabilidade!$F:$H,0,MATCH(F$3,rastreabilidade!$F$1:$H$1,0)),rastreabilidade!$M:$M,$N54),0))
+IF($O54="",0,IFERROR(SUMIFS(INDEX(rastreabilidade!$F:$H,0,MATCH(F$3,rastreabilidade!$F$1:$H$1,0)),rastreabilidade!$M:$M,$O54),0))
+IF($P54="",0,IFERROR(SUMIFS(INDEX(rastreabilidade!$F:$H,0,MATCH(F$3,rastreabilidade!$F$1:$H$1,0)),rastreabilidade!$M:$M,$P54),0))
+IF($Q54="",0,IFERROR(SUMIFS(INDEX(rastreabilidade!$F:$H,0,MATCH(F$3,rastreabilidade!$F$1:$H$1,0)),rastreabilidade!$M:$M,$Q54),0))
-IF($J54="",0,IFERROR(SUMIFS(INDEX(rastreabilidade!$F:$H,0,MATCH(F$3,rastreabilidade!$F$1:$H$1,0)),rastreabilidade!$M:$M,$J54,rastreabilidade!$N:$N,$AM54),0))
-IF($K54="",0,IFERROR(SUMIFS(INDEX(rastreabilidade!$F:$H,0,MATCH(F$3,rastreabilidade!$F$1:$H$1,0)),rastreabilidade!$M:$M,$K54,rastreabilidade!$N:$N,$AM54),0))
-IF($L54="",0,IFERROR(SUMIFS(INDEX(rastreabilidade!$F:$H,0,MATCH(F$3,rastreabilidade!$F$1:$H$1,0)),rastreabilidade!$M:$M,$L54,rastreabilidade!$N:$N,$AM54),0))
-IF($M54="",0,IFERROR(SUMIFS(INDEX(rastreabilidade!$F:$H,0,MATCH(F$3,rastreabilidade!$F$1:$H$1,0)),rastreabilidade!$M:$M,$M54,rastreabilidade!$N:$N,$AM54),0))</f>
        <v>0</v>
      </c>
      <c r="G54" s="132">
        <f>IFERROR(SUMIFS(INDEX(rastreabilidade!$F:$H,0,MATCH(G$3,rastreabilidade!$F$1:$H$1,0)),rastreabilidade!$N:$N,$AM54),0)
+IF($N54="",0,IFERROR(SUMIFS(INDEX(rastreabilidade!$F:$H,0,MATCH(G$3,rastreabilidade!$F$1:$H$1,0)),rastreabilidade!$M:$M,$N54),0))
+IF($O54="",0,IFERROR(SUMIFS(INDEX(rastreabilidade!$F:$H,0,MATCH(G$3,rastreabilidade!$F$1:$H$1,0)),rastreabilidade!$M:$M,$O54),0))
+IF($P54="",0,IFERROR(SUMIFS(INDEX(rastreabilidade!$F:$H,0,MATCH(G$3,rastreabilidade!$F$1:$H$1,0)),rastreabilidade!$M:$M,$P54),0))
+IF($Q54="",0,IFERROR(SUMIFS(INDEX(rastreabilidade!$F:$H,0,MATCH(G$3,rastreabilidade!$F$1:$H$1,0)),rastreabilidade!$M:$M,$Q54),0))
-IF($J54="",0,IFERROR(SUMIFS(INDEX(rastreabilidade!$F:$H,0,MATCH(G$3,rastreabilidade!$F$1:$H$1,0)),rastreabilidade!$M:$M,$J54,rastreabilidade!$N:$N,$AM54),0))
-IF($K54="",0,IFERROR(SUMIFS(INDEX(rastreabilidade!$F:$H,0,MATCH(G$3,rastreabilidade!$F$1:$H$1,0)),rastreabilidade!$M:$M,$K54,rastreabilidade!$N:$N,$AM54),0))
-IF($L54="",0,IFERROR(SUMIFS(INDEX(rastreabilidade!$F:$H,0,MATCH(G$3,rastreabilidade!$F$1:$H$1,0)),rastreabilidade!$M:$M,$L54,rastreabilidade!$N:$N,$AM54),0))
-IF($M54="",0,IFERROR(SUMIFS(INDEX(rastreabilidade!$F:$H,0,MATCH(G$3,rastreabilidade!$F$1:$H$1,0)),rastreabilidade!$M:$M,$M54,rastreabilidade!$N:$N,$AM54),0))</f>
        <v>0</v>
      </c>
      <c r="H54" s="36"/>
      <c r="I54" s="155" t="str" cm="1">
        <f t="array" ref="I54">_xlfn.LET(
_xlpm.mem,H54,
_xlpm.retiradas,J54:M54,
_xlpm.adicoes,N54:Q54,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4" s="54"/>
      <c r="K54" s="54"/>
      <c r="L54" s="54"/>
      <c r="M54" s="54"/>
      <c r="N54" s="58"/>
      <c r="O54" s="58"/>
      <c r="P54" s="58"/>
      <c r="Q54" s="58"/>
      <c r="R54" s="4"/>
      <c r="S54" s="4"/>
      <c r="T54" s="4"/>
      <c r="U54" s="45"/>
      <c r="V54" s="4"/>
      <c r="W54" s="4"/>
      <c r="X54" s="4"/>
      <c r="Y54" s="4"/>
      <c r="Z54" s="45"/>
      <c r="AA54" s="45"/>
      <c r="AB54" s="45"/>
      <c r="AC54" s="45"/>
      <c r="AD54" s="45"/>
      <c r="AE54" s="45"/>
      <c r="AF54" s="45"/>
      <c r="AG54" s="45"/>
      <c r="AH54" s="45"/>
      <c r="AI54" s="45"/>
      <c r="AJ54" s="45"/>
      <c r="AL54" s="5"/>
      <c r="AM54" s="5" t="str">
        <f t="shared" si="3"/>
        <v>Mútuo Financeiro|Passivo|Circulante</v>
      </c>
      <c r="AN54" s="5"/>
      <c r="AO54" s="5"/>
      <c r="AP54" s="5"/>
      <c r="AQ54" s="6"/>
      <c r="AR54" s="7"/>
      <c r="AS54" s="7"/>
      <c r="AT54" s="7"/>
    </row>
    <row r="55" spans="1:46" ht="35.1" customHeight="1" x14ac:dyDescent="0.25">
      <c r="A55" s="78" t="s">
        <v>101</v>
      </c>
      <c r="B55" s="131">
        <f>IFERROR(SUMIFS(INDEX(rastreabilidade!$F:$H,0,MATCH($B$2,rastreabilidade!$F$1:$H$1,0)),rastreabilidade!$K:$K,$A55,rastreabilidade!$D:$D,"Sim"),0)</f>
        <v>0</v>
      </c>
      <c r="C55" s="35"/>
      <c r="D55" s="4"/>
      <c r="E55" s="131">
        <f>IFERROR(SUMIFS(INDEX(rastreabilidade!$F:$H,0,MATCH(E$3,rastreabilidade!$F$1:$H$1,0)),rastreabilidade!$N:$N,$AM55),0)
+IF($N55="",0,IFERROR(SUMIFS(INDEX(rastreabilidade!$F:$H,0,MATCH(E$3,rastreabilidade!$F$1:$H$1,0)),rastreabilidade!$M:$M,$N55),0))
+IF($O55="",0,IFERROR(SUMIFS(INDEX(rastreabilidade!$F:$H,0,MATCH(E$3,rastreabilidade!$F$1:$H$1,0)),rastreabilidade!$M:$M,$O55),0))
+IF($P55="",0,IFERROR(SUMIFS(INDEX(rastreabilidade!$F:$H,0,MATCH(E$3,rastreabilidade!$F$1:$H$1,0)),rastreabilidade!$M:$M,$P55),0))
+IF($Q55="",0,IFERROR(SUMIFS(INDEX(rastreabilidade!$F:$H,0,MATCH(E$3,rastreabilidade!$F$1:$H$1,0)),rastreabilidade!$M:$M,$Q55),0))
-IF($J55="",0,IFERROR(SUMIFS(INDEX(rastreabilidade!$F:$H,0,MATCH(E$3,rastreabilidade!$F$1:$H$1,0)),rastreabilidade!$M:$M,$J55,rastreabilidade!$N:$N,$AM55),0))
-IF($K55="",0,IFERROR(SUMIFS(INDEX(rastreabilidade!$F:$H,0,MATCH(E$3,rastreabilidade!$F$1:$H$1,0)),rastreabilidade!$M:$M,$K55,rastreabilidade!$N:$N,$AM55),0))
-IF($L55="",0,IFERROR(SUMIFS(INDEX(rastreabilidade!$F:$H,0,MATCH(E$3,rastreabilidade!$F$1:$H$1,0)),rastreabilidade!$M:$M,$L55,rastreabilidade!$N:$N,$AM55),0))
-IF($M55="",0,IFERROR(SUMIFS(INDEX(rastreabilidade!$F:$H,0,MATCH(E$3,rastreabilidade!$F$1:$H$1,0)),rastreabilidade!$M:$M,$M55,rastreabilidade!$N:$N,$AM55),0))</f>
        <v>0</v>
      </c>
      <c r="F55" s="131">
        <f>IFERROR(SUMIFS(INDEX(rastreabilidade!$F:$H,0,MATCH(F$3,rastreabilidade!$F$1:$H$1,0)),rastreabilidade!$N:$N,$AM55),0)
+IF($N55="",0,IFERROR(SUMIFS(INDEX(rastreabilidade!$F:$H,0,MATCH(F$3,rastreabilidade!$F$1:$H$1,0)),rastreabilidade!$M:$M,$N55),0))
+IF($O55="",0,IFERROR(SUMIFS(INDEX(rastreabilidade!$F:$H,0,MATCH(F$3,rastreabilidade!$F$1:$H$1,0)),rastreabilidade!$M:$M,$O55),0))
+IF($P55="",0,IFERROR(SUMIFS(INDEX(rastreabilidade!$F:$H,0,MATCH(F$3,rastreabilidade!$F$1:$H$1,0)),rastreabilidade!$M:$M,$P55),0))
+IF($Q55="",0,IFERROR(SUMIFS(INDEX(rastreabilidade!$F:$H,0,MATCH(F$3,rastreabilidade!$F$1:$H$1,0)),rastreabilidade!$M:$M,$Q55),0))
-IF($J55="",0,IFERROR(SUMIFS(INDEX(rastreabilidade!$F:$H,0,MATCH(F$3,rastreabilidade!$F$1:$H$1,0)),rastreabilidade!$M:$M,$J55,rastreabilidade!$N:$N,$AM55),0))
-IF($K55="",0,IFERROR(SUMIFS(INDEX(rastreabilidade!$F:$H,0,MATCH(F$3,rastreabilidade!$F$1:$H$1,0)),rastreabilidade!$M:$M,$K55,rastreabilidade!$N:$N,$AM55),0))
-IF($L55="",0,IFERROR(SUMIFS(INDEX(rastreabilidade!$F:$H,0,MATCH(F$3,rastreabilidade!$F$1:$H$1,0)),rastreabilidade!$M:$M,$L55,rastreabilidade!$N:$N,$AM55),0))
-IF($M55="",0,IFERROR(SUMIFS(INDEX(rastreabilidade!$F:$H,0,MATCH(F$3,rastreabilidade!$F$1:$H$1,0)),rastreabilidade!$M:$M,$M55,rastreabilidade!$N:$N,$AM55),0))</f>
        <v>0</v>
      </c>
      <c r="G55" s="132">
        <f>IFERROR(SUMIFS(INDEX(rastreabilidade!$F:$H,0,MATCH(G$3,rastreabilidade!$F$1:$H$1,0)),rastreabilidade!$N:$N,$AM55),0)
+IF($N55="",0,IFERROR(SUMIFS(INDEX(rastreabilidade!$F:$H,0,MATCH(G$3,rastreabilidade!$F$1:$H$1,0)),rastreabilidade!$M:$M,$N55),0))
+IF($O55="",0,IFERROR(SUMIFS(INDEX(rastreabilidade!$F:$H,0,MATCH(G$3,rastreabilidade!$F$1:$H$1,0)),rastreabilidade!$M:$M,$O55),0))
+IF($P55="",0,IFERROR(SUMIFS(INDEX(rastreabilidade!$F:$H,0,MATCH(G$3,rastreabilidade!$F$1:$H$1,0)),rastreabilidade!$M:$M,$P55),0))
+IF($Q55="",0,IFERROR(SUMIFS(INDEX(rastreabilidade!$F:$H,0,MATCH(G$3,rastreabilidade!$F$1:$H$1,0)),rastreabilidade!$M:$M,$Q55),0))
-IF($J55="",0,IFERROR(SUMIFS(INDEX(rastreabilidade!$F:$H,0,MATCH(G$3,rastreabilidade!$F$1:$H$1,0)),rastreabilidade!$M:$M,$J55,rastreabilidade!$N:$N,$AM55),0))
-IF($K55="",0,IFERROR(SUMIFS(INDEX(rastreabilidade!$F:$H,0,MATCH(G$3,rastreabilidade!$F$1:$H$1,0)),rastreabilidade!$M:$M,$K55,rastreabilidade!$N:$N,$AM55),0))
-IF($L55="",0,IFERROR(SUMIFS(INDEX(rastreabilidade!$F:$H,0,MATCH(G$3,rastreabilidade!$F$1:$H$1,0)),rastreabilidade!$M:$M,$L55,rastreabilidade!$N:$N,$AM55),0))
-IF($M55="",0,IFERROR(SUMIFS(INDEX(rastreabilidade!$F:$H,0,MATCH(G$3,rastreabilidade!$F$1:$H$1,0)),rastreabilidade!$M:$M,$M55,rastreabilidade!$N:$N,$AM55),0))</f>
        <v>0</v>
      </c>
      <c r="H55" s="36"/>
      <c r="I55" s="155" t="str" cm="1">
        <f t="array" ref="I55">_xlfn.LET(
_xlpm.mem,H55,
_xlpm.retiradas,J55:M55,
_xlpm.adicoes,N55:Q55,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5" s="54"/>
      <c r="K55" s="54"/>
      <c r="L55" s="54"/>
      <c r="M55" s="54"/>
      <c r="N55" s="58"/>
      <c r="O55" s="58"/>
      <c r="P55" s="58"/>
      <c r="Q55" s="58"/>
      <c r="R55" s="4"/>
      <c r="S55" s="4"/>
      <c r="T55" s="4"/>
      <c r="U55" s="45"/>
      <c r="V55" s="4"/>
      <c r="W55" s="4"/>
      <c r="X55" s="4"/>
      <c r="Y55" s="4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L55" s="5"/>
      <c r="AM55" s="5" t="str">
        <f t="shared" si="3"/>
        <v>Salários|Passivo|Circulante</v>
      </c>
      <c r="AN55" s="5"/>
      <c r="AO55" s="5"/>
      <c r="AP55" s="5"/>
      <c r="AQ55" s="6"/>
      <c r="AR55" s="7"/>
      <c r="AS55" s="7"/>
      <c r="AT55" s="7"/>
    </row>
    <row r="56" spans="1:46" ht="35.1" customHeight="1" x14ac:dyDescent="0.25">
      <c r="A56" s="78" t="s">
        <v>102</v>
      </c>
      <c r="B56" s="131">
        <f>IFERROR(SUMIFS(INDEX(rastreabilidade!$F:$H,0,MATCH($B$2,rastreabilidade!$F$1:$H$1,0)),rastreabilidade!$K:$K,$A56,rastreabilidade!$D:$D,"Sim"),0)</f>
        <v>0</v>
      </c>
      <c r="C56" s="35"/>
      <c r="D56" s="4"/>
      <c r="E56" s="131">
        <f>IFERROR(SUMIFS(INDEX(rastreabilidade!$F:$H,0,MATCH(E$3,rastreabilidade!$F$1:$H$1,0)),rastreabilidade!$N:$N,$AM56),0)
+IF($N56="",0,IFERROR(SUMIFS(INDEX(rastreabilidade!$F:$H,0,MATCH(E$3,rastreabilidade!$F$1:$H$1,0)),rastreabilidade!$M:$M,$N56),0))
+IF($O56="",0,IFERROR(SUMIFS(INDEX(rastreabilidade!$F:$H,0,MATCH(E$3,rastreabilidade!$F$1:$H$1,0)),rastreabilidade!$M:$M,$O56),0))
+IF($P56="",0,IFERROR(SUMIFS(INDEX(rastreabilidade!$F:$H,0,MATCH(E$3,rastreabilidade!$F$1:$H$1,0)),rastreabilidade!$M:$M,$P56),0))
+IF($Q56="",0,IFERROR(SUMIFS(INDEX(rastreabilidade!$F:$H,0,MATCH(E$3,rastreabilidade!$F$1:$H$1,0)),rastreabilidade!$M:$M,$Q56),0))
-IF($J56="",0,IFERROR(SUMIFS(INDEX(rastreabilidade!$F:$H,0,MATCH(E$3,rastreabilidade!$F$1:$H$1,0)),rastreabilidade!$M:$M,$J56,rastreabilidade!$N:$N,$AM56),0))
-IF($K56="",0,IFERROR(SUMIFS(INDEX(rastreabilidade!$F:$H,0,MATCH(E$3,rastreabilidade!$F$1:$H$1,0)),rastreabilidade!$M:$M,$K56,rastreabilidade!$N:$N,$AM56),0))
-IF($L56="",0,IFERROR(SUMIFS(INDEX(rastreabilidade!$F:$H,0,MATCH(E$3,rastreabilidade!$F$1:$H$1,0)),rastreabilidade!$M:$M,$L56,rastreabilidade!$N:$N,$AM56),0))
-IF($M56="",0,IFERROR(SUMIFS(INDEX(rastreabilidade!$F:$H,0,MATCH(E$3,rastreabilidade!$F$1:$H$1,0)),rastreabilidade!$M:$M,$M56,rastreabilidade!$N:$N,$AM56),0))</f>
        <v>0</v>
      </c>
      <c r="F56" s="131">
        <f>IFERROR(SUMIFS(INDEX(rastreabilidade!$F:$H,0,MATCH(F$3,rastreabilidade!$F$1:$H$1,0)),rastreabilidade!$N:$N,$AM56),0)
+IF($N56="",0,IFERROR(SUMIFS(INDEX(rastreabilidade!$F:$H,0,MATCH(F$3,rastreabilidade!$F$1:$H$1,0)),rastreabilidade!$M:$M,$N56),0))
+IF($O56="",0,IFERROR(SUMIFS(INDEX(rastreabilidade!$F:$H,0,MATCH(F$3,rastreabilidade!$F$1:$H$1,0)),rastreabilidade!$M:$M,$O56),0))
+IF($P56="",0,IFERROR(SUMIFS(INDEX(rastreabilidade!$F:$H,0,MATCH(F$3,rastreabilidade!$F$1:$H$1,0)),rastreabilidade!$M:$M,$P56),0))
+IF($Q56="",0,IFERROR(SUMIFS(INDEX(rastreabilidade!$F:$H,0,MATCH(F$3,rastreabilidade!$F$1:$H$1,0)),rastreabilidade!$M:$M,$Q56),0))
-IF($J56="",0,IFERROR(SUMIFS(INDEX(rastreabilidade!$F:$H,0,MATCH(F$3,rastreabilidade!$F$1:$H$1,0)),rastreabilidade!$M:$M,$J56,rastreabilidade!$N:$N,$AM56),0))
-IF($K56="",0,IFERROR(SUMIFS(INDEX(rastreabilidade!$F:$H,0,MATCH(F$3,rastreabilidade!$F$1:$H$1,0)),rastreabilidade!$M:$M,$K56,rastreabilidade!$N:$N,$AM56),0))
-IF($L56="",0,IFERROR(SUMIFS(INDEX(rastreabilidade!$F:$H,0,MATCH(F$3,rastreabilidade!$F$1:$H$1,0)),rastreabilidade!$M:$M,$L56,rastreabilidade!$N:$N,$AM56),0))
-IF($M56="",0,IFERROR(SUMIFS(INDEX(rastreabilidade!$F:$H,0,MATCH(F$3,rastreabilidade!$F$1:$H$1,0)),rastreabilidade!$M:$M,$M56,rastreabilidade!$N:$N,$AM56),0))</f>
        <v>0</v>
      </c>
      <c r="G56" s="132">
        <f>IFERROR(SUMIFS(INDEX(rastreabilidade!$F:$H,0,MATCH(G$3,rastreabilidade!$F$1:$H$1,0)),rastreabilidade!$N:$N,$AM56),0)
+IF($N56="",0,IFERROR(SUMIFS(INDEX(rastreabilidade!$F:$H,0,MATCH(G$3,rastreabilidade!$F$1:$H$1,0)),rastreabilidade!$M:$M,$N56),0))
+IF($O56="",0,IFERROR(SUMIFS(INDEX(rastreabilidade!$F:$H,0,MATCH(G$3,rastreabilidade!$F$1:$H$1,0)),rastreabilidade!$M:$M,$O56),0))
+IF($P56="",0,IFERROR(SUMIFS(INDEX(rastreabilidade!$F:$H,0,MATCH(G$3,rastreabilidade!$F$1:$H$1,0)),rastreabilidade!$M:$M,$P56),0))
+IF($Q56="",0,IFERROR(SUMIFS(INDEX(rastreabilidade!$F:$H,0,MATCH(G$3,rastreabilidade!$F$1:$H$1,0)),rastreabilidade!$M:$M,$Q56),0))
-IF($J56="",0,IFERROR(SUMIFS(INDEX(rastreabilidade!$F:$H,0,MATCH(G$3,rastreabilidade!$F$1:$H$1,0)),rastreabilidade!$M:$M,$J56,rastreabilidade!$N:$N,$AM56),0))
-IF($K56="",0,IFERROR(SUMIFS(INDEX(rastreabilidade!$F:$H,0,MATCH(G$3,rastreabilidade!$F$1:$H$1,0)),rastreabilidade!$M:$M,$K56,rastreabilidade!$N:$N,$AM56),0))
-IF($L56="",0,IFERROR(SUMIFS(INDEX(rastreabilidade!$F:$H,0,MATCH(G$3,rastreabilidade!$F$1:$H$1,0)),rastreabilidade!$M:$M,$L56,rastreabilidade!$N:$N,$AM56),0))
-IF($M56="",0,IFERROR(SUMIFS(INDEX(rastreabilidade!$F:$H,0,MATCH(G$3,rastreabilidade!$F$1:$H$1,0)),rastreabilidade!$M:$M,$M56,rastreabilidade!$N:$N,$AM56),0))</f>
        <v>0</v>
      </c>
      <c r="H56" s="36"/>
      <c r="I56" s="155" t="str" cm="1">
        <f t="array" ref="I56">_xlfn.LET(
_xlpm.mem,H56,
_xlpm.retiradas,J56:M56,
_xlpm.adicoes,N56:Q56,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6" s="54"/>
      <c r="K56" s="54"/>
      <c r="L56" s="54"/>
      <c r="M56" s="54"/>
      <c r="N56" s="58"/>
      <c r="O56" s="58"/>
      <c r="P56" s="58"/>
      <c r="Q56" s="58"/>
      <c r="R56" s="4"/>
      <c r="S56" s="4"/>
      <c r="T56" s="4"/>
      <c r="U56" s="45"/>
      <c r="V56" s="4"/>
      <c r="W56" s="4"/>
      <c r="X56" s="4"/>
      <c r="Y56" s="4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L56" s="5"/>
      <c r="AM56" s="5" t="str">
        <f t="shared" si="3"/>
        <v>Impostos|Passivo|Circulante</v>
      </c>
      <c r="AN56" s="5"/>
      <c r="AO56" s="5"/>
      <c r="AP56" s="5"/>
      <c r="AQ56" s="6"/>
      <c r="AR56" s="7"/>
      <c r="AS56" s="7"/>
      <c r="AT56" s="7"/>
    </row>
    <row r="57" spans="1:46" ht="35.1" customHeight="1" x14ac:dyDescent="0.25">
      <c r="A57" s="78" t="s">
        <v>103</v>
      </c>
      <c r="B57" s="131">
        <f>IFERROR(SUMIFS(INDEX(rastreabilidade!$F:$H,0,MATCH($B$2,rastreabilidade!$F$1:$H$1,0)),rastreabilidade!$K:$K,$A57,rastreabilidade!$D:$D,"Sim"),0)</f>
        <v>0</v>
      </c>
      <c r="C57" s="35"/>
      <c r="D57" s="4"/>
      <c r="E57" s="131">
        <f>IFERROR(SUMIFS(INDEX(rastreabilidade!$F:$H,0,MATCH(E$3,rastreabilidade!$F$1:$H$1,0)),rastreabilidade!$N:$N,$AM57),0)
+IF($N57="",0,IFERROR(SUMIFS(INDEX(rastreabilidade!$F:$H,0,MATCH(E$3,rastreabilidade!$F$1:$H$1,0)),rastreabilidade!$M:$M,$N57),0))
+IF($O57="",0,IFERROR(SUMIFS(INDEX(rastreabilidade!$F:$H,0,MATCH(E$3,rastreabilidade!$F$1:$H$1,0)),rastreabilidade!$M:$M,$O57),0))
+IF($P57="",0,IFERROR(SUMIFS(INDEX(rastreabilidade!$F:$H,0,MATCH(E$3,rastreabilidade!$F$1:$H$1,0)),rastreabilidade!$M:$M,$P57),0))
+IF($Q57="",0,IFERROR(SUMIFS(INDEX(rastreabilidade!$F:$H,0,MATCH(E$3,rastreabilidade!$F$1:$H$1,0)),rastreabilidade!$M:$M,$Q57),0))
-IF($J57="",0,IFERROR(SUMIFS(INDEX(rastreabilidade!$F:$H,0,MATCH(E$3,rastreabilidade!$F$1:$H$1,0)),rastreabilidade!$M:$M,$J57,rastreabilidade!$N:$N,$AM57),0))
-IF($K57="",0,IFERROR(SUMIFS(INDEX(rastreabilidade!$F:$H,0,MATCH(E$3,rastreabilidade!$F$1:$H$1,0)),rastreabilidade!$M:$M,$K57,rastreabilidade!$N:$N,$AM57),0))
-IF($L57="",0,IFERROR(SUMIFS(INDEX(rastreabilidade!$F:$H,0,MATCH(E$3,rastreabilidade!$F$1:$H$1,0)),rastreabilidade!$M:$M,$L57,rastreabilidade!$N:$N,$AM57),0))
-IF($M57="",0,IFERROR(SUMIFS(INDEX(rastreabilidade!$F:$H,0,MATCH(E$3,rastreabilidade!$F$1:$H$1,0)),rastreabilidade!$M:$M,$M57,rastreabilidade!$N:$N,$AM57),0))</f>
        <v>0</v>
      </c>
      <c r="F57" s="131">
        <f>IFERROR(SUMIFS(INDEX(rastreabilidade!$F:$H,0,MATCH(F$3,rastreabilidade!$F$1:$H$1,0)),rastreabilidade!$N:$N,$AM57),0)
+IF($N57="",0,IFERROR(SUMIFS(INDEX(rastreabilidade!$F:$H,0,MATCH(F$3,rastreabilidade!$F$1:$H$1,0)),rastreabilidade!$M:$M,$N57),0))
+IF($O57="",0,IFERROR(SUMIFS(INDEX(rastreabilidade!$F:$H,0,MATCH(F$3,rastreabilidade!$F$1:$H$1,0)),rastreabilidade!$M:$M,$O57),0))
+IF($P57="",0,IFERROR(SUMIFS(INDEX(rastreabilidade!$F:$H,0,MATCH(F$3,rastreabilidade!$F$1:$H$1,0)),rastreabilidade!$M:$M,$P57),0))
+IF($Q57="",0,IFERROR(SUMIFS(INDEX(rastreabilidade!$F:$H,0,MATCH(F$3,rastreabilidade!$F$1:$H$1,0)),rastreabilidade!$M:$M,$Q57),0))
-IF($J57="",0,IFERROR(SUMIFS(INDEX(rastreabilidade!$F:$H,0,MATCH(F$3,rastreabilidade!$F$1:$H$1,0)),rastreabilidade!$M:$M,$J57,rastreabilidade!$N:$N,$AM57),0))
-IF($K57="",0,IFERROR(SUMIFS(INDEX(rastreabilidade!$F:$H,0,MATCH(F$3,rastreabilidade!$F$1:$H$1,0)),rastreabilidade!$M:$M,$K57,rastreabilidade!$N:$N,$AM57),0))
-IF($L57="",0,IFERROR(SUMIFS(INDEX(rastreabilidade!$F:$H,0,MATCH(F$3,rastreabilidade!$F$1:$H$1,0)),rastreabilidade!$M:$M,$L57,rastreabilidade!$N:$N,$AM57),0))
-IF($M57="",0,IFERROR(SUMIFS(INDEX(rastreabilidade!$F:$H,0,MATCH(F$3,rastreabilidade!$F$1:$H$1,0)),rastreabilidade!$M:$M,$M57,rastreabilidade!$N:$N,$AM57),0))</f>
        <v>0</v>
      </c>
      <c r="G57" s="132">
        <f>IFERROR(SUMIFS(INDEX(rastreabilidade!$F:$H,0,MATCH(G$3,rastreabilidade!$F$1:$H$1,0)),rastreabilidade!$N:$N,$AM57),0)
+IF($N57="",0,IFERROR(SUMIFS(INDEX(rastreabilidade!$F:$H,0,MATCH(G$3,rastreabilidade!$F$1:$H$1,0)),rastreabilidade!$M:$M,$N57),0))
+IF($O57="",0,IFERROR(SUMIFS(INDEX(rastreabilidade!$F:$H,0,MATCH(G$3,rastreabilidade!$F$1:$H$1,0)),rastreabilidade!$M:$M,$O57),0))
+IF($P57="",0,IFERROR(SUMIFS(INDEX(rastreabilidade!$F:$H,0,MATCH(G$3,rastreabilidade!$F$1:$H$1,0)),rastreabilidade!$M:$M,$P57),0))
+IF($Q57="",0,IFERROR(SUMIFS(INDEX(rastreabilidade!$F:$H,0,MATCH(G$3,rastreabilidade!$F$1:$H$1,0)),rastreabilidade!$M:$M,$Q57),0))
-IF($J57="",0,IFERROR(SUMIFS(INDEX(rastreabilidade!$F:$H,0,MATCH(G$3,rastreabilidade!$F$1:$H$1,0)),rastreabilidade!$M:$M,$J57,rastreabilidade!$N:$N,$AM57),0))
-IF($K57="",0,IFERROR(SUMIFS(INDEX(rastreabilidade!$F:$H,0,MATCH(G$3,rastreabilidade!$F$1:$H$1,0)),rastreabilidade!$M:$M,$K57,rastreabilidade!$N:$N,$AM57),0))
-IF($L57="",0,IFERROR(SUMIFS(INDEX(rastreabilidade!$F:$H,0,MATCH(G$3,rastreabilidade!$F$1:$H$1,0)),rastreabilidade!$M:$M,$L57,rastreabilidade!$N:$N,$AM57),0))
-IF($M57="",0,IFERROR(SUMIFS(INDEX(rastreabilidade!$F:$H,0,MATCH(G$3,rastreabilidade!$F$1:$H$1,0)),rastreabilidade!$M:$M,$M57,rastreabilidade!$N:$N,$AM57),0))</f>
        <v>0</v>
      </c>
      <c r="H57" s="36"/>
      <c r="I57" s="155" t="str" cm="1">
        <f t="array" ref="I57">_xlfn.LET(
_xlpm.mem,H57,
_xlpm.retiradas,J57:M57,
_xlpm.adicoes,N57:Q57,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7" s="54"/>
      <c r="K57" s="54"/>
      <c r="L57" s="54"/>
      <c r="M57" s="54"/>
      <c r="N57" s="58"/>
      <c r="O57" s="58"/>
      <c r="P57" s="58"/>
      <c r="Q57" s="58"/>
      <c r="R57" s="4"/>
      <c r="S57" s="4"/>
      <c r="T57" s="4"/>
      <c r="U57" s="45"/>
      <c r="V57" s="4"/>
      <c r="W57" s="4"/>
      <c r="X57" s="4"/>
      <c r="Y57" s="4"/>
      <c r="Z57" s="45"/>
      <c r="AA57" s="45"/>
      <c r="AB57" s="45"/>
      <c r="AC57" s="45"/>
      <c r="AD57" s="45"/>
      <c r="AE57" s="45"/>
      <c r="AF57" s="45"/>
      <c r="AG57" s="45"/>
      <c r="AH57" s="45"/>
      <c r="AI57" s="45"/>
      <c r="AJ57" s="45"/>
      <c r="AL57" s="5"/>
      <c r="AM57" s="5" t="str">
        <f t="shared" si="3"/>
        <v>Adiantamento de Clientes|Passivo|Circulante</v>
      </c>
      <c r="AN57" s="5"/>
      <c r="AO57" s="5"/>
      <c r="AP57" s="5"/>
      <c r="AQ57" s="6"/>
      <c r="AR57" s="7"/>
      <c r="AS57" s="7"/>
      <c r="AT57" s="7"/>
    </row>
    <row r="58" spans="1:46" ht="35.1" customHeight="1" x14ac:dyDescent="0.25">
      <c r="A58" s="78" t="s">
        <v>104</v>
      </c>
      <c r="B58" s="131">
        <f>IFERROR(SUMIFS(INDEX(rastreabilidade!$F:$H,0,MATCH($B$2,rastreabilidade!$F$1:$H$1,0)),rastreabilidade!$K:$K,$A58,rastreabilidade!$D:$D,"Sim"),0)</f>
        <v>0</v>
      </c>
      <c r="C58" s="35"/>
      <c r="D58" s="4"/>
      <c r="E58" s="131">
        <f>IFERROR(SUMIFS(INDEX(rastreabilidade!$F:$H,0,MATCH(E$3,rastreabilidade!$F$1:$H$1,0)),rastreabilidade!$N:$N,$AM58),0)
+IF($N58="",0,IFERROR(SUMIFS(INDEX(rastreabilidade!$F:$H,0,MATCH(E$3,rastreabilidade!$F$1:$H$1,0)),rastreabilidade!$M:$M,$N58),0))
+IF($O58="",0,IFERROR(SUMIFS(INDEX(rastreabilidade!$F:$H,0,MATCH(E$3,rastreabilidade!$F$1:$H$1,0)),rastreabilidade!$M:$M,$O58),0))
+IF($P58="",0,IFERROR(SUMIFS(INDEX(rastreabilidade!$F:$H,0,MATCH(E$3,rastreabilidade!$F$1:$H$1,0)),rastreabilidade!$M:$M,$P58),0))
+IF($Q58="",0,IFERROR(SUMIFS(INDEX(rastreabilidade!$F:$H,0,MATCH(E$3,rastreabilidade!$F$1:$H$1,0)),rastreabilidade!$M:$M,$Q58),0))
-IF($J58="",0,IFERROR(SUMIFS(INDEX(rastreabilidade!$F:$H,0,MATCH(E$3,rastreabilidade!$F$1:$H$1,0)),rastreabilidade!$M:$M,$J58,rastreabilidade!$N:$N,$AM58),0))
-IF($K58="",0,IFERROR(SUMIFS(INDEX(rastreabilidade!$F:$H,0,MATCH(E$3,rastreabilidade!$F$1:$H$1,0)),rastreabilidade!$M:$M,$K58,rastreabilidade!$N:$N,$AM58),0))
-IF($L58="",0,IFERROR(SUMIFS(INDEX(rastreabilidade!$F:$H,0,MATCH(E$3,rastreabilidade!$F$1:$H$1,0)),rastreabilidade!$M:$M,$L58,rastreabilidade!$N:$N,$AM58),0))
-IF($M58="",0,IFERROR(SUMIFS(INDEX(rastreabilidade!$F:$H,0,MATCH(E$3,rastreabilidade!$F$1:$H$1,0)),rastreabilidade!$M:$M,$M58,rastreabilidade!$N:$N,$AM58),0))</f>
        <v>0</v>
      </c>
      <c r="F58" s="131">
        <f>IFERROR(SUMIFS(INDEX(rastreabilidade!$F:$H,0,MATCH(F$3,rastreabilidade!$F$1:$H$1,0)),rastreabilidade!$N:$N,$AM58),0)
+IF($N58="",0,IFERROR(SUMIFS(INDEX(rastreabilidade!$F:$H,0,MATCH(F$3,rastreabilidade!$F$1:$H$1,0)),rastreabilidade!$M:$M,$N58),0))
+IF($O58="",0,IFERROR(SUMIFS(INDEX(rastreabilidade!$F:$H,0,MATCH(F$3,rastreabilidade!$F$1:$H$1,0)),rastreabilidade!$M:$M,$O58),0))
+IF($P58="",0,IFERROR(SUMIFS(INDEX(rastreabilidade!$F:$H,0,MATCH(F$3,rastreabilidade!$F$1:$H$1,0)),rastreabilidade!$M:$M,$P58),0))
+IF($Q58="",0,IFERROR(SUMIFS(INDEX(rastreabilidade!$F:$H,0,MATCH(F$3,rastreabilidade!$F$1:$H$1,0)),rastreabilidade!$M:$M,$Q58),0))
-IF($J58="",0,IFERROR(SUMIFS(INDEX(rastreabilidade!$F:$H,0,MATCH(F$3,rastreabilidade!$F$1:$H$1,0)),rastreabilidade!$M:$M,$J58,rastreabilidade!$N:$N,$AM58),0))
-IF($K58="",0,IFERROR(SUMIFS(INDEX(rastreabilidade!$F:$H,0,MATCH(F$3,rastreabilidade!$F$1:$H$1,0)),rastreabilidade!$M:$M,$K58,rastreabilidade!$N:$N,$AM58),0))
-IF($L58="",0,IFERROR(SUMIFS(INDEX(rastreabilidade!$F:$H,0,MATCH(F$3,rastreabilidade!$F$1:$H$1,0)),rastreabilidade!$M:$M,$L58,rastreabilidade!$N:$N,$AM58),0))
-IF($M58="",0,IFERROR(SUMIFS(INDEX(rastreabilidade!$F:$H,0,MATCH(F$3,rastreabilidade!$F$1:$H$1,0)),rastreabilidade!$M:$M,$M58,rastreabilidade!$N:$N,$AM58),0))</f>
        <v>0</v>
      </c>
      <c r="G58" s="132">
        <f>IFERROR(SUMIFS(INDEX(rastreabilidade!$F:$H,0,MATCH(G$3,rastreabilidade!$F$1:$H$1,0)),rastreabilidade!$N:$N,$AM58),0)
+IF($N58="",0,IFERROR(SUMIFS(INDEX(rastreabilidade!$F:$H,0,MATCH(G$3,rastreabilidade!$F$1:$H$1,0)),rastreabilidade!$M:$M,$N58),0))
+IF($O58="",0,IFERROR(SUMIFS(INDEX(rastreabilidade!$F:$H,0,MATCH(G$3,rastreabilidade!$F$1:$H$1,0)),rastreabilidade!$M:$M,$O58),0))
+IF($P58="",0,IFERROR(SUMIFS(INDEX(rastreabilidade!$F:$H,0,MATCH(G$3,rastreabilidade!$F$1:$H$1,0)),rastreabilidade!$M:$M,$P58),0))
+IF($Q58="",0,IFERROR(SUMIFS(INDEX(rastreabilidade!$F:$H,0,MATCH(G$3,rastreabilidade!$F$1:$H$1,0)),rastreabilidade!$M:$M,$Q58),0))
-IF($J58="",0,IFERROR(SUMIFS(INDEX(rastreabilidade!$F:$H,0,MATCH(G$3,rastreabilidade!$F$1:$H$1,0)),rastreabilidade!$M:$M,$J58,rastreabilidade!$N:$N,$AM58),0))
-IF($K58="",0,IFERROR(SUMIFS(INDEX(rastreabilidade!$F:$H,0,MATCH(G$3,rastreabilidade!$F$1:$H$1,0)),rastreabilidade!$M:$M,$K58,rastreabilidade!$N:$N,$AM58),0))
-IF($L58="",0,IFERROR(SUMIFS(INDEX(rastreabilidade!$F:$H,0,MATCH(G$3,rastreabilidade!$F$1:$H$1,0)),rastreabilidade!$M:$M,$L58,rastreabilidade!$N:$N,$AM58),0))
-IF($M58="",0,IFERROR(SUMIFS(INDEX(rastreabilidade!$F:$H,0,MATCH(G$3,rastreabilidade!$F$1:$H$1,0)),rastreabilidade!$M:$M,$M58,rastreabilidade!$N:$N,$AM58),0))</f>
        <v>0</v>
      </c>
      <c r="H58" s="36"/>
      <c r="I58" s="155" t="str" cm="1">
        <f t="array" ref="I58">_xlfn.LET(
_xlpm.mem,H58,
_xlpm.retiradas,J58:M58,
_xlpm.adicoes,N58:Q58,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8" s="54"/>
      <c r="K58" s="54"/>
      <c r="L58" s="54"/>
      <c r="M58" s="54"/>
      <c r="N58" s="58"/>
      <c r="O58" s="58"/>
      <c r="P58" s="58"/>
      <c r="Q58" s="58"/>
      <c r="R58" s="4"/>
      <c r="S58" s="4"/>
      <c r="T58" s="4"/>
      <c r="U58" s="45"/>
      <c r="V58" s="4"/>
      <c r="W58" s="4"/>
      <c r="X58" s="4"/>
      <c r="Y58" s="4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L58" s="5"/>
      <c r="AM58" s="5" t="str">
        <f t="shared" si="3"/>
        <v>Dividendos a Pagar|Passivo|Circulante</v>
      </c>
      <c r="AN58" s="5"/>
      <c r="AO58" s="5"/>
      <c r="AP58" s="5"/>
      <c r="AQ58" s="6"/>
      <c r="AR58" s="7"/>
      <c r="AS58" s="7"/>
      <c r="AT58" s="7"/>
    </row>
    <row r="59" spans="1:46" ht="35.1" customHeight="1" x14ac:dyDescent="0.25">
      <c r="A59" s="117" t="s">
        <v>105</v>
      </c>
      <c r="B59" s="131">
        <f>IFERROR(SUMIFS(INDEX(rastreabilidade!$F:$H,0,MATCH($B$2,rastreabilidade!$F$1:$H$1,0)),rastreabilidade!$K:$K,$A59,rastreabilidade!$D:$D,"Sim"),0)</f>
        <v>0</v>
      </c>
      <c r="C59" s="35"/>
      <c r="D59" s="4"/>
      <c r="E59" s="131">
        <f>IFERROR(SUMIFS(INDEX(rastreabilidade!$F:$H,0,MATCH(E$3,rastreabilidade!$F$1:$H$1,0)),rastreabilidade!$N:$N,$AM59),0)
+IF($N59="",0,IFERROR(SUMIFS(INDEX(rastreabilidade!$F:$H,0,MATCH(E$3,rastreabilidade!$F$1:$H$1,0)),rastreabilidade!$M:$M,$N59),0))
+IF($O59="",0,IFERROR(SUMIFS(INDEX(rastreabilidade!$F:$H,0,MATCH(E$3,rastreabilidade!$F$1:$H$1,0)),rastreabilidade!$M:$M,$O59),0))
+IF($P59="",0,IFERROR(SUMIFS(INDEX(rastreabilidade!$F:$H,0,MATCH(E$3,rastreabilidade!$F$1:$H$1,0)),rastreabilidade!$M:$M,$P59),0))
+IF($Q59="",0,IFERROR(SUMIFS(INDEX(rastreabilidade!$F:$H,0,MATCH(E$3,rastreabilidade!$F$1:$H$1,0)),rastreabilidade!$M:$M,$Q59),0))
-IF($J59="",0,IFERROR(SUMIFS(INDEX(rastreabilidade!$F:$H,0,MATCH(E$3,rastreabilidade!$F$1:$H$1,0)),rastreabilidade!$M:$M,$J59,rastreabilidade!$N:$N,$AM59),0))
-IF($K59="",0,IFERROR(SUMIFS(INDEX(rastreabilidade!$F:$H,0,MATCH(E$3,rastreabilidade!$F$1:$H$1,0)),rastreabilidade!$M:$M,$K59,rastreabilidade!$N:$N,$AM59),0))
-IF($L59="",0,IFERROR(SUMIFS(INDEX(rastreabilidade!$F:$H,0,MATCH(E$3,rastreabilidade!$F$1:$H$1,0)),rastreabilidade!$M:$M,$L59,rastreabilidade!$N:$N,$AM59),0))
-IF($M59="",0,IFERROR(SUMIFS(INDEX(rastreabilidade!$F:$H,0,MATCH(E$3,rastreabilidade!$F$1:$H$1,0)),rastreabilidade!$M:$M,$M59,rastreabilidade!$N:$N,$AM59),0))</f>
        <v>0</v>
      </c>
      <c r="F59" s="131">
        <f>IFERROR(SUMIFS(INDEX(rastreabilidade!$F:$H,0,MATCH(F$3,rastreabilidade!$F$1:$H$1,0)),rastreabilidade!$N:$N,$AM59),0)
+IF($N59="",0,IFERROR(SUMIFS(INDEX(rastreabilidade!$F:$H,0,MATCH(F$3,rastreabilidade!$F$1:$H$1,0)),rastreabilidade!$M:$M,$N59),0))
+IF($O59="",0,IFERROR(SUMIFS(INDEX(rastreabilidade!$F:$H,0,MATCH(F$3,rastreabilidade!$F$1:$H$1,0)),rastreabilidade!$M:$M,$O59),0))
+IF($P59="",0,IFERROR(SUMIFS(INDEX(rastreabilidade!$F:$H,0,MATCH(F$3,rastreabilidade!$F$1:$H$1,0)),rastreabilidade!$M:$M,$P59),0))
+IF($Q59="",0,IFERROR(SUMIFS(INDEX(rastreabilidade!$F:$H,0,MATCH(F$3,rastreabilidade!$F$1:$H$1,0)),rastreabilidade!$M:$M,$Q59),0))
-IF($J59="",0,IFERROR(SUMIFS(INDEX(rastreabilidade!$F:$H,0,MATCH(F$3,rastreabilidade!$F$1:$H$1,0)),rastreabilidade!$M:$M,$J59,rastreabilidade!$N:$N,$AM59),0))
-IF($K59="",0,IFERROR(SUMIFS(INDEX(rastreabilidade!$F:$H,0,MATCH(F$3,rastreabilidade!$F$1:$H$1,0)),rastreabilidade!$M:$M,$K59,rastreabilidade!$N:$N,$AM59),0))
-IF($L59="",0,IFERROR(SUMIFS(INDEX(rastreabilidade!$F:$H,0,MATCH(F$3,rastreabilidade!$F$1:$H$1,0)),rastreabilidade!$M:$M,$L59,rastreabilidade!$N:$N,$AM59),0))
-IF($M59="",0,IFERROR(SUMIFS(INDEX(rastreabilidade!$F:$H,0,MATCH(F$3,rastreabilidade!$F$1:$H$1,0)),rastreabilidade!$M:$M,$M59,rastreabilidade!$N:$N,$AM59),0))</f>
        <v>0</v>
      </c>
      <c r="G59" s="132">
        <f>IFERROR(SUMIFS(INDEX(rastreabilidade!$F:$H,0,MATCH(G$3,rastreabilidade!$F$1:$H$1,0)),rastreabilidade!$N:$N,$AM59),0)
+IF($N59="",0,IFERROR(SUMIFS(INDEX(rastreabilidade!$F:$H,0,MATCH(G$3,rastreabilidade!$F$1:$H$1,0)),rastreabilidade!$M:$M,$N59),0))
+IF($O59="",0,IFERROR(SUMIFS(INDEX(rastreabilidade!$F:$H,0,MATCH(G$3,rastreabilidade!$F$1:$H$1,0)),rastreabilidade!$M:$M,$O59),0))
+IF($P59="",0,IFERROR(SUMIFS(INDEX(rastreabilidade!$F:$H,0,MATCH(G$3,rastreabilidade!$F$1:$H$1,0)),rastreabilidade!$M:$M,$P59),0))
+IF($Q59="",0,IFERROR(SUMIFS(INDEX(rastreabilidade!$F:$H,0,MATCH(G$3,rastreabilidade!$F$1:$H$1,0)),rastreabilidade!$M:$M,$Q59),0))
-IF($J59="",0,IFERROR(SUMIFS(INDEX(rastreabilidade!$F:$H,0,MATCH(G$3,rastreabilidade!$F$1:$H$1,0)),rastreabilidade!$M:$M,$J59,rastreabilidade!$N:$N,$AM59),0))
-IF($K59="",0,IFERROR(SUMIFS(INDEX(rastreabilidade!$F:$H,0,MATCH(G$3,rastreabilidade!$F$1:$H$1,0)),rastreabilidade!$M:$M,$K59,rastreabilidade!$N:$N,$AM59),0))
-IF($L59="",0,IFERROR(SUMIFS(INDEX(rastreabilidade!$F:$H,0,MATCH(G$3,rastreabilidade!$F$1:$H$1,0)),rastreabilidade!$M:$M,$L59,rastreabilidade!$N:$N,$AM59),0))
-IF($M59="",0,IFERROR(SUMIFS(INDEX(rastreabilidade!$F:$H,0,MATCH(G$3,rastreabilidade!$F$1:$H$1,0)),rastreabilidade!$M:$M,$M59,rastreabilidade!$N:$N,$AM59),0))</f>
        <v>0</v>
      </c>
      <c r="H59" s="36"/>
      <c r="I59" s="155" t="str" cm="1">
        <f t="array" ref="I59">_xlfn.LET(
_xlpm.mem,H59,
_xlpm.retiradas,J59:M59,
_xlpm.adicoes,N59:Q59,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59" s="54"/>
      <c r="K59" s="54"/>
      <c r="L59" s="54"/>
      <c r="M59" s="54"/>
      <c r="N59" s="58"/>
      <c r="O59" s="58"/>
      <c r="P59" s="58"/>
      <c r="Q59" s="58"/>
      <c r="R59" s="4"/>
      <c r="S59" s="4"/>
      <c r="T59" s="4"/>
      <c r="U59" s="45"/>
      <c r="V59" s="4"/>
      <c r="W59" s="4"/>
      <c r="X59" s="4"/>
      <c r="Y59" s="4"/>
      <c r="Z59" s="45"/>
      <c r="AA59" s="45"/>
      <c r="AB59" s="45"/>
      <c r="AC59" s="45"/>
      <c r="AD59" s="45"/>
      <c r="AE59" s="45"/>
      <c r="AF59" s="45"/>
      <c r="AG59" s="45"/>
      <c r="AH59" s="45"/>
      <c r="AI59" s="45"/>
      <c r="AJ59" s="45"/>
      <c r="AL59" s="5"/>
      <c r="AM59" s="5" t="str">
        <f t="shared" si="3"/>
        <v>Outros Operacionais (PC)|Passivo|Circulante</v>
      </c>
      <c r="AN59" s="5"/>
      <c r="AO59" s="5"/>
      <c r="AP59" s="5"/>
      <c r="AQ59" s="6"/>
      <c r="AR59" s="7"/>
      <c r="AS59" s="7"/>
      <c r="AT59" s="7"/>
    </row>
    <row r="60" spans="1:46" ht="35.1" customHeight="1" x14ac:dyDescent="0.25">
      <c r="A60" s="117" t="s">
        <v>106</v>
      </c>
      <c r="B60" s="131">
        <f>IFERROR(SUMIFS(INDEX(rastreabilidade!$F:$H,0,MATCH($B$2,rastreabilidade!$F$1:$H$1,0)),rastreabilidade!$K:$K,$A60,rastreabilidade!$D:$D,"Sim"),0)</f>
        <v>0</v>
      </c>
      <c r="C60" s="35"/>
      <c r="D60" s="4"/>
      <c r="E60" s="131">
        <f>IFERROR(SUMIFS(INDEX(rastreabilidade!$F:$H,0,MATCH(E$3,rastreabilidade!$F$1:$H$1,0)),rastreabilidade!$N:$N,$AM60),0)
+IF($N60="",0,IFERROR(SUMIFS(INDEX(rastreabilidade!$F:$H,0,MATCH(E$3,rastreabilidade!$F$1:$H$1,0)),rastreabilidade!$M:$M,$N60),0))
+IF($O60="",0,IFERROR(SUMIFS(INDEX(rastreabilidade!$F:$H,0,MATCH(E$3,rastreabilidade!$F$1:$H$1,0)),rastreabilidade!$M:$M,$O60),0))
+IF($P60="",0,IFERROR(SUMIFS(INDEX(rastreabilidade!$F:$H,0,MATCH(E$3,rastreabilidade!$F$1:$H$1,0)),rastreabilidade!$M:$M,$P60),0))
+IF($Q60="",0,IFERROR(SUMIFS(INDEX(rastreabilidade!$F:$H,0,MATCH(E$3,rastreabilidade!$F$1:$H$1,0)),rastreabilidade!$M:$M,$Q60),0))
-IF($J60="",0,IFERROR(SUMIFS(INDEX(rastreabilidade!$F:$H,0,MATCH(E$3,rastreabilidade!$F$1:$H$1,0)),rastreabilidade!$M:$M,$J60,rastreabilidade!$N:$N,$AM60),0))
-IF($K60="",0,IFERROR(SUMIFS(INDEX(rastreabilidade!$F:$H,0,MATCH(E$3,rastreabilidade!$F$1:$H$1,0)),rastreabilidade!$M:$M,$K60,rastreabilidade!$N:$N,$AM60),0))
-IF($L60="",0,IFERROR(SUMIFS(INDEX(rastreabilidade!$F:$H,0,MATCH(E$3,rastreabilidade!$F$1:$H$1,0)),rastreabilidade!$M:$M,$L60,rastreabilidade!$N:$N,$AM60),0))
-IF($M60="",0,IFERROR(SUMIFS(INDEX(rastreabilidade!$F:$H,0,MATCH(E$3,rastreabilidade!$F$1:$H$1,0)),rastreabilidade!$M:$M,$M60,rastreabilidade!$N:$N,$AM60),0))</f>
        <v>0</v>
      </c>
      <c r="F60" s="131">
        <f>IFERROR(SUMIFS(INDEX(rastreabilidade!$F:$H,0,MATCH(F$3,rastreabilidade!$F$1:$H$1,0)),rastreabilidade!$N:$N,$AM60),0)
+IF($N60="",0,IFERROR(SUMIFS(INDEX(rastreabilidade!$F:$H,0,MATCH(F$3,rastreabilidade!$F$1:$H$1,0)),rastreabilidade!$M:$M,$N60),0))
+IF($O60="",0,IFERROR(SUMIFS(INDEX(rastreabilidade!$F:$H,0,MATCH(F$3,rastreabilidade!$F$1:$H$1,0)),rastreabilidade!$M:$M,$O60),0))
+IF($P60="",0,IFERROR(SUMIFS(INDEX(rastreabilidade!$F:$H,0,MATCH(F$3,rastreabilidade!$F$1:$H$1,0)),rastreabilidade!$M:$M,$P60),0))
+IF($Q60="",0,IFERROR(SUMIFS(INDEX(rastreabilidade!$F:$H,0,MATCH(F$3,rastreabilidade!$F$1:$H$1,0)),rastreabilidade!$M:$M,$Q60),0))
-IF($J60="",0,IFERROR(SUMIFS(INDEX(rastreabilidade!$F:$H,0,MATCH(F$3,rastreabilidade!$F$1:$H$1,0)),rastreabilidade!$M:$M,$J60,rastreabilidade!$N:$N,$AM60),0))
-IF($K60="",0,IFERROR(SUMIFS(INDEX(rastreabilidade!$F:$H,0,MATCH(F$3,rastreabilidade!$F$1:$H$1,0)),rastreabilidade!$M:$M,$K60,rastreabilidade!$N:$N,$AM60),0))
-IF($L60="",0,IFERROR(SUMIFS(INDEX(rastreabilidade!$F:$H,0,MATCH(F$3,rastreabilidade!$F$1:$H$1,0)),rastreabilidade!$M:$M,$L60,rastreabilidade!$N:$N,$AM60),0))
-IF($M60="",0,IFERROR(SUMIFS(INDEX(rastreabilidade!$F:$H,0,MATCH(F$3,rastreabilidade!$F$1:$H$1,0)),rastreabilidade!$M:$M,$M60,rastreabilidade!$N:$N,$AM60),0))</f>
        <v>0</v>
      </c>
      <c r="G60" s="132">
        <f>IFERROR(SUMIFS(INDEX(rastreabilidade!$F:$H,0,MATCH(G$3,rastreabilidade!$F$1:$H$1,0)),rastreabilidade!$N:$N,$AM60),0)
+IF($N60="",0,IFERROR(SUMIFS(INDEX(rastreabilidade!$F:$H,0,MATCH(G$3,rastreabilidade!$F$1:$H$1,0)),rastreabilidade!$M:$M,$N60),0))
+IF($O60="",0,IFERROR(SUMIFS(INDEX(rastreabilidade!$F:$H,0,MATCH(G$3,rastreabilidade!$F$1:$H$1,0)),rastreabilidade!$M:$M,$O60),0))
+IF($P60="",0,IFERROR(SUMIFS(INDEX(rastreabilidade!$F:$H,0,MATCH(G$3,rastreabilidade!$F$1:$H$1,0)),rastreabilidade!$M:$M,$P60),0))
+IF($Q60="",0,IFERROR(SUMIFS(INDEX(rastreabilidade!$F:$H,0,MATCH(G$3,rastreabilidade!$F$1:$H$1,0)),rastreabilidade!$M:$M,$Q60),0))
-IF($J60="",0,IFERROR(SUMIFS(INDEX(rastreabilidade!$F:$H,0,MATCH(G$3,rastreabilidade!$F$1:$H$1,0)),rastreabilidade!$M:$M,$J60,rastreabilidade!$N:$N,$AM60),0))
-IF($K60="",0,IFERROR(SUMIFS(INDEX(rastreabilidade!$F:$H,0,MATCH(G$3,rastreabilidade!$F$1:$H$1,0)),rastreabilidade!$M:$M,$K60,rastreabilidade!$N:$N,$AM60),0))
-IF($L60="",0,IFERROR(SUMIFS(INDEX(rastreabilidade!$F:$H,0,MATCH(G$3,rastreabilidade!$F$1:$H$1,0)),rastreabilidade!$M:$M,$L60,rastreabilidade!$N:$N,$AM60),0))
-IF($M60="",0,IFERROR(SUMIFS(INDEX(rastreabilidade!$F:$H,0,MATCH(G$3,rastreabilidade!$F$1:$H$1,0)),rastreabilidade!$M:$M,$M60,rastreabilidade!$N:$N,$AM60),0))</f>
        <v>0</v>
      </c>
      <c r="H60" s="36"/>
      <c r="I60" s="155" t="str" cm="1">
        <f t="array" ref="I60">_xlfn.LET(
_xlpm.mem,H60,
_xlpm.retiradas,J60:M60,
_xlpm.adicoes,N60:Q60,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0" s="54"/>
      <c r="K60" s="54"/>
      <c r="L60" s="54"/>
      <c r="M60" s="54"/>
      <c r="N60" s="58"/>
      <c r="O60" s="58"/>
      <c r="P60" s="58"/>
      <c r="Q60" s="58"/>
      <c r="R60" s="4"/>
      <c r="S60" s="4"/>
      <c r="T60" s="4"/>
      <c r="U60" s="45"/>
      <c r="V60" s="4"/>
      <c r="W60" s="4"/>
      <c r="X60" s="4"/>
      <c r="Y60" s="4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L60" s="5"/>
      <c r="AM60" s="5" t="str">
        <f t="shared" si="3"/>
        <v>Outros Não Operacionais (PC)|Passivo|Circulante</v>
      </c>
      <c r="AN60" s="5"/>
      <c r="AO60" s="5"/>
      <c r="AP60" s="5"/>
      <c r="AQ60" s="6"/>
      <c r="AR60" s="7"/>
      <c r="AS60" s="7"/>
      <c r="AT60" s="7"/>
    </row>
    <row r="61" spans="1:46" ht="35.1" customHeight="1" x14ac:dyDescent="0.25">
      <c r="A61" s="90" t="s">
        <v>107</v>
      </c>
      <c r="B61" s="129">
        <f>SUM(B52:B60)+SUM(B45:B49)</f>
        <v>0</v>
      </c>
      <c r="C61" s="55"/>
      <c r="D61" s="4"/>
      <c r="E61" s="129">
        <f>SUM(E52:E60)+SUM(E45:E49)</f>
        <v>0</v>
      </c>
      <c r="F61" s="129">
        <f>SUM(F52:F60)+SUM(F45:F49)</f>
        <v>0</v>
      </c>
      <c r="G61" s="130">
        <f>SUM(G52:G60)+SUM(G45:G49)</f>
        <v>0</v>
      </c>
      <c r="H61" s="60"/>
      <c r="I61" s="151"/>
      <c r="J61" s="55"/>
      <c r="K61" s="55"/>
      <c r="L61" s="55"/>
      <c r="M61" s="55"/>
      <c r="N61" s="55"/>
      <c r="O61" s="55"/>
      <c r="P61" s="55"/>
      <c r="Q61" s="55"/>
      <c r="R61" s="4"/>
      <c r="S61" s="4"/>
      <c r="T61" s="4"/>
      <c r="U61" s="45"/>
      <c r="V61" s="4"/>
      <c r="W61" s="4"/>
      <c r="X61" s="4"/>
      <c r="Y61" s="4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L61" s="5"/>
      <c r="AM61" s="5" t="str">
        <f t="shared" si="3"/>
        <v>TOTAL PASSIVO CIRCULANTE|Passivo|Circulante</v>
      </c>
      <c r="AN61" s="5"/>
      <c r="AO61" s="5"/>
      <c r="AP61" s="5"/>
      <c r="AQ61" s="6"/>
      <c r="AR61" s="7"/>
      <c r="AS61" s="7"/>
      <c r="AT61" s="7"/>
    </row>
    <row r="62" spans="1:46" ht="35.1" customHeight="1" x14ac:dyDescent="0.25">
      <c r="A62" s="77" t="s">
        <v>108</v>
      </c>
      <c r="B62" s="137">
        <f>IFERROR(SUMIFS(INDEX(rastreabilidade!$F:$H,0,MATCH($B$2,rastreabilidade!$F$1:$H$1,0)),rastreabilidade!$K:$K,$A62,rastreabilidade!$D:$D,"Sim"),0)</f>
        <v>0</v>
      </c>
      <c r="C62" s="35"/>
      <c r="D62" s="4"/>
      <c r="E62" s="137">
        <f>IFERROR(SUMIFS(INDEX(rastreabilidade!$F:$H,0,MATCH(E$3,rastreabilidade!$F$1:$H$1,0)),rastreabilidade!$N:$N,$AM62),0)
+IF($N62="",0,IFERROR(SUMIFS(INDEX(rastreabilidade!$F:$H,0,MATCH(E$3,rastreabilidade!$F$1:$H$1,0)),rastreabilidade!$M:$M,$N62),0))
+IF($O62="",0,IFERROR(SUMIFS(INDEX(rastreabilidade!$F:$H,0,MATCH(E$3,rastreabilidade!$F$1:$H$1,0)),rastreabilidade!$M:$M,$O62),0))
+IF($P62="",0,IFERROR(SUMIFS(INDEX(rastreabilidade!$F:$H,0,MATCH(E$3,rastreabilidade!$F$1:$H$1,0)),rastreabilidade!$M:$M,$P62),0))
+IF($Q62="",0,IFERROR(SUMIFS(INDEX(rastreabilidade!$F:$H,0,MATCH(E$3,rastreabilidade!$F$1:$H$1,0)),rastreabilidade!$M:$M,$Q62),0))
-IF($J62="",0,IFERROR(SUMIFS(INDEX(rastreabilidade!$F:$H,0,MATCH(E$3,rastreabilidade!$F$1:$H$1,0)),rastreabilidade!$M:$M,$J62,rastreabilidade!$N:$N,$AM62),0))
-IF($K62="",0,IFERROR(SUMIFS(INDEX(rastreabilidade!$F:$H,0,MATCH(E$3,rastreabilidade!$F$1:$H$1,0)),rastreabilidade!$M:$M,$K62,rastreabilidade!$N:$N,$AM62),0))
-IF($L62="",0,IFERROR(SUMIFS(INDEX(rastreabilidade!$F:$H,0,MATCH(E$3,rastreabilidade!$F$1:$H$1,0)),rastreabilidade!$M:$M,$L62,rastreabilidade!$N:$N,$AM62),0))
-IF($M62="",0,IFERROR(SUMIFS(INDEX(rastreabilidade!$F:$H,0,MATCH(E$3,rastreabilidade!$F$1:$H$1,0)),rastreabilidade!$M:$M,$M62,rastreabilidade!$N:$N,$AM62),0))</f>
        <v>0</v>
      </c>
      <c r="F62" s="137">
        <f>IFERROR(SUMIFS(INDEX(rastreabilidade!$F:$H,0,MATCH(F$3,rastreabilidade!$F$1:$H$1,0)),rastreabilidade!$N:$N,$AM62),0)
+IF($N62="",0,IFERROR(SUMIFS(INDEX(rastreabilidade!$F:$H,0,MATCH(F$3,rastreabilidade!$F$1:$H$1,0)),rastreabilidade!$M:$M,$N62),0))
+IF($O62="",0,IFERROR(SUMIFS(INDEX(rastreabilidade!$F:$H,0,MATCH(F$3,rastreabilidade!$F$1:$H$1,0)),rastreabilidade!$M:$M,$O62),0))
+IF($P62="",0,IFERROR(SUMIFS(INDEX(rastreabilidade!$F:$H,0,MATCH(F$3,rastreabilidade!$F$1:$H$1,0)),rastreabilidade!$M:$M,$P62),0))
+IF($Q62="",0,IFERROR(SUMIFS(INDEX(rastreabilidade!$F:$H,0,MATCH(F$3,rastreabilidade!$F$1:$H$1,0)),rastreabilidade!$M:$M,$Q62),0))
-IF($J62="",0,IFERROR(SUMIFS(INDEX(rastreabilidade!$F:$H,0,MATCH(F$3,rastreabilidade!$F$1:$H$1,0)),rastreabilidade!$M:$M,$J62,rastreabilidade!$N:$N,$AM62),0))
-IF($K62="",0,IFERROR(SUMIFS(INDEX(rastreabilidade!$F:$H,0,MATCH(F$3,rastreabilidade!$F$1:$H$1,0)),rastreabilidade!$M:$M,$K62,rastreabilidade!$N:$N,$AM62),0))
-IF($L62="",0,IFERROR(SUMIFS(INDEX(rastreabilidade!$F:$H,0,MATCH(F$3,rastreabilidade!$F$1:$H$1,0)),rastreabilidade!$M:$M,$L62,rastreabilidade!$N:$N,$AM62),0))
-IF($M62="",0,IFERROR(SUMIFS(INDEX(rastreabilidade!$F:$H,0,MATCH(F$3,rastreabilidade!$F$1:$H$1,0)),rastreabilidade!$M:$M,$M62,rastreabilidade!$N:$N,$AM62),0))</f>
        <v>0</v>
      </c>
      <c r="G62" s="138">
        <f>IFERROR(SUMIFS(INDEX(rastreabilidade!$F:$H,0,MATCH(G$3,rastreabilidade!$F$1:$H$1,0)),rastreabilidade!$N:$N,$AM62),0)
+IF($N62="",0,IFERROR(SUMIFS(INDEX(rastreabilidade!$F:$H,0,MATCH(G$3,rastreabilidade!$F$1:$H$1,0)),rastreabilidade!$M:$M,$N62),0))
+IF($O62="",0,IFERROR(SUMIFS(INDEX(rastreabilidade!$F:$H,0,MATCH(G$3,rastreabilidade!$F$1:$H$1,0)),rastreabilidade!$M:$M,$O62),0))
+IF($P62="",0,IFERROR(SUMIFS(INDEX(rastreabilidade!$F:$H,0,MATCH(G$3,rastreabilidade!$F$1:$H$1,0)),rastreabilidade!$M:$M,$P62),0))
+IF($Q62="",0,IFERROR(SUMIFS(INDEX(rastreabilidade!$F:$H,0,MATCH(G$3,rastreabilidade!$F$1:$H$1,0)),rastreabilidade!$M:$M,$Q62),0))
-IF($J62="",0,IFERROR(SUMIFS(INDEX(rastreabilidade!$F:$H,0,MATCH(G$3,rastreabilidade!$F$1:$H$1,0)),rastreabilidade!$M:$M,$J62,rastreabilidade!$N:$N,$AM62),0))
-IF($K62="",0,IFERROR(SUMIFS(INDEX(rastreabilidade!$F:$H,0,MATCH(G$3,rastreabilidade!$F$1:$H$1,0)),rastreabilidade!$M:$M,$K62,rastreabilidade!$N:$N,$AM62),0))
-IF($L62="",0,IFERROR(SUMIFS(INDEX(rastreabilidade!$F:$H,0,MATCH(G$3,rastreabilidade!$F$1:$H$1,0)),rastreabilidade!$M:$M,$L62,rastreabilidade!$N:$N,$AM62),0))
-IF($M62="",0,IFERROR(SUMIFS(INDEX(rastreabilidade!$F:$H,0,MATCH(G$3,rastreabilidade!$F$1:$H$1,0)),rastreabilidade!$M:$M,$M62,rastreabilidade!$N:$N,$AM62),0))</f>
        <v>0</v>
      </c>
      <c r="H62" s="36"/>
      <c r="I62" s="155" t="str" cm="1">
        <f t="array" ref="I62">_xlfn.LET(
_xlpm.mem,H62,
_xlpm.retiradas,J62:M62,
_xlpm.adicoes,N62:Q62,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2" s="54"/>
      <c r="K62" s="54"/>
      <c r="L62" s="54"/>
      <c r="M62" s="54"/>
      <c r="N62" s="58"/>
      <c r="O62" s="58"/>
      <c r="P62" s="58"/>
      <c r="Q62" s="58"/>
      <c r="R62" s="4"/>
      <c r="S62" s="4"/>
      <c r="T62" s="4"/>
      <c r="U62" s="45"/>
      <c r="V62" s="4"/>
      <c r="W62" s="4"/>
      <c r="X62" s="4"/>
      <c r="Y62" s="4"/>
      <c r="Z62" s="45"/>
      <c r="AA62" s="45"/>
      <c r="AB62" s="45"/>
      <c r="AC62" s="45"/>
      <c r="AD62" s="45"/>
      <c r="AE62" s="45"/>
      <c r="AF62" s="45"/>
      <c r="AG62" s="45"/>
      <c r="AH62" s="45"/>
      <c r="AI62" s="45"/>
      <c r="AJ62" s="45"/>
      <c r="AL62" s="5"/>
      <c r="AM62" s="5" t="str">
        <f t="shared" ref="AM62:AM72" si="4">_xlfn.TEXTJOIN("|",TRUE,A62,"Passivo","Não Circulante")</f>
        <v>Bancos LP|Passivo|Não Circulante</v>
      </c>
      <c r="AN62" s="5"/>
      <c r="AO62" s="5"/>
      <c r="AP62" s="5"/>
      <c r="AQ62" s="6"/>
      <c r="AR62" s="7"/>
      <c r="AS62" s="7"/>
      <c r="AT62" s="7"/>
    </row>
    <row r="63" spans="1:46" ht="35.1" customHeight="1" x14ac:dyDescent="0.25">
      <c r="A63" s="91" t="s">
        <v>109</v>
      </c>
      <c r="B63" s="141">
        <f>IFERROR(SUMIFS(INDEX(rastreabilidade!$F:$H,0,MATCH($B$2,rastreabilidade!$F$1:$H$1,0)),rastreabilidade!$K:$K,$A63,rastreabilidade!$D:$D,"Sim"),0)</f>
        <v>0</v>
      </c>
      <c r="C63" s="35"/>
      <c r="D63" s="4"/>
      <c r="E63" s="141">
        <f>IFERROR(SUMIFS(INDEX(rastreabilidade!$F:$H,0,MATCH(E$3,rastreabilidade!$F$1:$H$1,0)),rastreabilidade!$N:$N,$AM63),0)
+IF($N63="",0,IFERROR(SUMIFS(INDEX(rastreabilidade!$F:$H,0,MATCH(E$3,rastreabilidade!$F$1:$H$1,0)),rastreabilidade!$M:$M,$N63),0))
+IF($O63="",0,IFERROR(SUMIFS(INDEX(rastreabilidade!$F:$H,0,MATCH(E$3,rastreabilidade!$F$1:$H$1,0)),rastreabilidade!$M:$M,$O63),0))
+IF($P63="",0,IFERROR(SUMIFS(INDEX(rastreabilidade!$F:$H,0,MATCH(E$3,rastreabilidade!$F$1:$H$1,0)),rastreabilidade!$M:$M,$P63),0))
+IF($Q63="",0,IFERROR(SUMIFS(INDEX(rastreabilidade!$F:$H,0,MATCH(E$3,rastreabilidade!$F$1:$H$1,0)),rastreabilidade!$M:$M,$Q63),0))
-IF($J63="",0,IFERROR(SUMIFS(INDEX(rastreabilidade!$F:$H,0,MATCH(E$3,rastreabilidade!$F$1:$H$1,0)),rastreabilidade!$M:$M,$J63,rastreabilidade!$N:$N,$AM63),0))
-IF($K63="",0,IFERROR(SUMIFS(INDEX(rastreabilidade!$F:$H,0,MATCH(E$3,rastreabilidade!$F$1:$H$1,0)),rastreabilidade!$M:$M,$K63,rastreabilidade!$N:$N,$AM63),0))
-IF($L63="",0,IFERROR(SUMIFS(INDEX(rastreabilidade!$F:$H,0,MATCH(E$3,rastreabilidade!$F$1:$H$1,0)),rastreabilidade!$M:$M,$L63,rastreabilidade!$N:$N,$AM63),0))
-IF($M63="",0,IFERROR(SUMIFS(INDEX(rastreabilidade!$F:$H,0,MATCH(E$3,rastreabilidade!$F$1:$H$1,0)),rastreabilidade!$M:$M,$M63,rastreabilidade!$N:$N,$AM63),0))</f>
        <v>0</v>
      </c>
      <c r="F63" s="141">
        <f>IFERROR(SUMIFS(INDEX(rastreabilidade!$F:$H,0,MATCH(F$3,rastreabilidade!$F$1:$H$1,0)),rastreabilidade!$N:$N,$AM63),0)
+IF($N63="",0,IFERROR(SUMIFS(INDEX(rastreabilidade!$F:$H,0,MATCH(F$3,rastreabilidade!$F$1:$H$1,0)),rastreabilidade!$M:$M,$N63),0))
+IF($O63="",0,IFERROR(SUMIFS(INDEX(rastreabilidade!$F:$H,0,MATCH(F$3,rastreabilidade!$F$1:$H$1,0)),rastreabilidade!$M:$M,$O63),0))
+IF($P63="",0,IFERROR(SUMIFS(INDEX(rastreabilidade!$F:$H,0,MATCH(F$3,rastreabilidade!$F$1:$H$1,0)),rastreabilidade!$M:$M,$P63),0))
+IF($Q63="",0,IFERROR(SUMIFS(INDEX(rastreabilidade!$F:$H,0,MATCH(F$3,rastreabilidade!$F$1:$H$1,0)),rastreabilidade!$M:$M,$Q63),0))
-IF($J63="",0,IFERROR(SUMIFS(INDEX(rastreabilidade!$F:$H,0,MATCH(F$3,rastreabilidade!$F$1:$H$1,0)),rastreabilidade!$M:$M,$J63,rastreabilidade!$N:$N,$AM63),0))
-IF($K63="",0,IFERROR(SUMIFS(INDEX(rastreabilidade!$F:$H,0,MATCH(F$3,rastreabilidade!$F$1:$H$1,0)),rastreabilidade!$M:$M,$K63,rastreabilidade!$N:$N,$AM63),0))
-IF($L63="",0,IFERROR(SUMIFS(INDEX(rastreabilidade!$F:$H,0,MATCH(F$3,rastreabilidade!$F$1:$H$1,0)),rastreabilidade!$M:$M,$L63,rastreabilidade!$N:$N,$AM63),0))
-IF($M63="",0,IFERROR(SUMIFS(INDEX(rastreabilidade!$F:$H,0,MATCH(F$3,rastreabilidade!$F$1:$H$1,0)),rastreabilidade!$M:$M,$M63,rastreabilidade!$N:$N,$AM63),0))</f>
        <v>0</v>
      </c>
      <c r="G63" s="142">
        <f>IFERROR(SUMIFS(INDEX(rastreabilidade!$F:$H,0,MATCH(G$3,rastreabilidade!$F$1:$H$1,0)),rastreabilidade!$N:$N,$AM63),0)
+IF($N63="",0,IFERROR(SUMIFS(INDEX(rastreabilidade!$F:$H,0,MATCH(G$3,rastreabilidade!$F$1:$H$1,0)),rastreabilidade!$M:$M,$N63),0))
+IF($O63="",0,IFERROR(SUMIFS(INDEX(rastreabilidade!$F:$H,0,MATCH(G$3,rastreabilidade!$F$1:$H$1,0)),rastreabilidade!$M:$M,$O63),0))
+IF($P63="",0,IFERROR(SUMIFS(INDEX(rastreabilidade!$F:$H,0,MATCH(G$3,rastreabilidade!$F$1:$H$1,0)),rastreabilidade!$M:$M,$P63),0))
+IF($Q63="",0,IFERROR(SUMIFS(INDEX(rastreabilidade!$F:$H,0,MATCH(G$3,rastreabilidade!$F$1:$H$1,0)),rastreabilidade!$M:$M,$Q63),0))
-IF($J63="",0,IFERROR(SUMIFS(INDEX(rastreabilidade!$F:$H,0,MATCH(G$3,rastreabilidade!$F$1:$H$1,0)),rastreabilidade!$M:$M,$J63,rastreabilidade!$N:$N,$AM63),0))
-IF($K63="",0,IFERROR(SUMIFS(INDEX(rastreabilidade!$F:$H,0,MATCH(G$3,rastreabilidade!$F$1:$H$1,0)),rastreabilidade!$M:$M,$K63,rastreabilidade!$N:$N,$AM63),0))
-IF($L63="",0,IFERROR(SUMIFS(INDEX(rastreabilidade!$F:$H,0,MATCH(G$3,rastreabilidade!$F$1:$H$1,0)),rastreabilidade!$M:$M,$L63,rastreabilidade!$N:$N,$AM63),0))
-IF($M63="",0,IFERROR(SUMIFS(INDEX(rastreabilidade!$F:$H,0,MATCH(G$3,rastreabilidade!$F$1:$H$1,0)),rastreabilidade!$M:$M,$M63,rastreabilidade!$N:$N,$AM63),0))</f>
        <v>0</v>
      </c>
      <c r="H63" s="36"/>
      <c r="I63" s="155" t="str" cm="1">
        <f t="array" ref="I63">_xlfn.LET(
_xlpm.mem,H63,
_xlpm.retiradas,J63:M63,
_xlpm.adicoes,N63:Q63,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3" s="54"/>
      <c r="K63" s="54"/>
      <c r="L63" s="54"/>
      <c r="M63" s="54"/>
      <c r="N63" s="58"/>
      <c r="O63" s="58"/>
      <c r="P63" s="58"/>
      <c r="Q63" s="58"/>
      <c r="R63" s="4"/>
      <c r="S63" s="4"/>
      <c r="T63" s="4"/>
      <c r="U63" s="45"/>
      <c r="V63" s="4"/>
      <c r="W63" s="4"/>
      <c r="X63" s="4"/>
      <c r="Y63" s="4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  <c r="AL63" s="5"/>
      <c r="AM63" s="5" t="str">
        <f t="shared" si="4"/>
        <v>Outras Dividas Financeiras LP|Passivo|Não Circulante</v>
      </c>
      <c r="AN63" s="5"/>
      <c r="AO63" s="5"/>
      <c r="AP63" s="5"/>
      <c r="AQ63" s="6"/>
      <c r="AR63" s="7"/>
      <c r="AS63" s="7"/>
      <c r="AT63" s="7"/>
    </row>
    <row r="64" spans="1:46" ht="35.1" customHeight="1" x14ac:dyDescent="0.25">
      <c r="A64" s="78" t="s">
        <v>110</v>
      </c>
      <c r="B64" s="131">
        <f>IFERROR(SUMIFS(INDEX(rastreabilidade!$F:$H,0,MATCH($B$2,rastreabilidade!$F$1:$H$1,0)),rastreabilidade!$K:$K,$A64,rastreabilidade!$D:$D,"Sim"),0)</f>
        <v>0</v>
      </c>
      <c r="C64" s="35"/>
      <c r="D64" s="4"/>
      <c r="E64" s="131">
        <f>IFERROR(SUMIFS(INDEX(rastreabilidade!$F:$H,0,MATCH(E$3,rastreabilidade!$F$1:$H$1,0)),rastreabilidade!$N:$N,$AM64),0)
+IF($N64="",0,IFERROR(SUMIFS(INDEX(rastreabilidade!$F:$H,0,MATCH(E$3,rastreabilidade!$F$1:$H$1,0)),rastreabilidade!$M:$M,$N64),0))
+IF($O64="",0,IFERROR(SUMIFS(INDEX(rastreabilidade!$F:$H,0,MATCH(E$3,rastreabilidade!$F$1:$H$1,0)),rastreabilidade!$M:$M,$O64),0))
+IF($P64="",0,IFERROR(SUMIFS(INDEX(rastreabilidade!$F:$H,0,MATCH(E$3,rastreabilidade!$F$1:$H$1,0)),rastreabilidade!$M:$M,$P64),0))
+IF($Q64="",0,IFERROR(SUMIFS(INDEX(rastreabilidade!$F:$H,0,MATCH(E$3,rastreabilidade!$F$1:$H$1,0)),rastreabilidade!$M:$M,$Q64),0))
-IF($J64="",0,IFERROR(SUMIFS(INDEX(rastreabilidade!$F:$H,0,MATCH(E$3,rastreabilidade!$F$1:$H$1,0)),rastreabilidade!$M:$M,$J64,rastreabilidade!$N:$N,$AM64),0))
-IF($K64="",0,IFERROR(SUMIFS(INDEX(rastreabilidade!$F:$H,0,MATCH(E$3,rastreabilidade!$F$1:$H$1,0)),rastreabilidade!$M:$M,$K64,rastreabilidade!$N:$N,$AM64),0))
-IF($L64="",0,IFERROR(SUMIFS(INDEX(rastreabilidade!$F:$H,0,MATCH(E$3,rastreabilidade!$F$1:$H$1,0)),rastreabilidade!$M:$M,$L64,rastreabilidade!$N:$N,$AM64),0))
-IF($M64="",0,IFERROR(SUMIFS(INDEX(rastreabilidade!$F:$H,0,MATCH(E$3,rastreabilidade!$F$1:$H$1,0)),rastreabilidade!$M:$M,$M64,rastreabilidade!$N:$N,$AM64),0))</f>
        <v>0</v>
      </c>
      <c r="F64" s="131">
        <f>IFERROR(SUMIFS(INDEX(rastreabilidade!$F:$H,0,MATCH(F$3,rastreabilidade!$F$1:$H$1,0)),rastreabilidade!$N:$N,$AM64),0)
+IF($N64="",0,IFERROR(SUMIFS(INDEX(rastreabilidade!$F:$H,0,MATCH(F$3,rastreabilidade!$F$1:$H$1,0)),rastreabilidade!$M:$M,$N64),0))
+IF($O64="",0,IFERROR(SUMIFS(INDEX(rastreabilidade!$F:$H,0,MATCH(F$3,rastreabilidade!$F$1:$H$1,0)),rastreabilidade!$M:$M,$O64),0))
+IF($P64="",0,IFERROR(SUMIFS(INDEX(rastreabilidade!$F:$H,0,MATCH(F$3,rastreabilidade!$F$1:$H$1,0)),rastreabilidade!$M:$M,$P64),0))
+IF($Q64="",0,IFERROR(SUMIFS(INDEX(rastreabilidade!$F:$H,0,MATCH(F$3,rastreabilidade!$F$1:$H$1,0)),rastreabilidade!$M:$M,$Q64),0))
-IF($J64="",0,IFERROR(SUMIFS(INDEX(rastreabilidade!$F:$H,0,MATCH(F$3,rastreabilidade!$F$1:$H$1,0)),rastreabilidade!$M:$M,$J64,rastreabilidade!$N:$N,$AM64),0))
-IF($K64="",0,IFERROR(SUMIFS(INDEX(rastreabilidade!$F:$H,0,MATCH(F$3,rastreabilidade!$F$1:$H$1,0)),rastreabilidade!$M:$M,$K64,rastreabilidade!$N:$N,$AM64),0))
-IF($L64="",0,IFERROR(SUMIFS(INDEX(rastreabilidade!$F:$H,0,MATCH(F$3,rastreabilidade!$F$1:$H$1,0)),rastreabilidade!$M:$M,$L64,rastreabilidade!$N:$N,$AM64),0))
-IF($M64="",0,IFERROR(SUMIFS(INDEX(rastreabilidade!$F:$H,0,MATCH(F$3,rastreabilidade!$F$1:$H$1,0)),rastreabilidade!$M:$M,$M64,rastreabilidade!$N:$N,$AM64),0))</f>
        <v>0</v>
      </c>
      <c r="G64" s="132">
        <f>IFERROR(SUMIFS(INDEX(rastreabilidade!$F:$H,0,MATCH(G$3,rastreabilidade!$F$1:$H$1,0)),rastreabilidade!$N:$N,$AM64),0)
+IF($N64="",0,IFERROR(SUMIFS(INDEX(rastreabilidade!$F:$H,0,MATCH(G$3,rastreabilidade!$F$1:$H$1,0)),rastreabilidade!$M:$M,$N64),0))
+IF($O64="",0,IFERROR(SUMIFS(INDEX(rastreabilidade!$F:$H,0,MATCH(G$3,rastreabilidade!$F$1:$H$1,0)),rastreabilidade!$M:$M,$O64),0))
+IF($P64="",0,IFERROR(SUMIFS(INDEX(rastreabilidade!$F:$H,0,MATCH(G$3,rastreabilidade!$F$1:$H$1,0)),rastreabilidade!$M:$M,$P64),0))
+IF($Q64="",0,IFERROR(SUMIFS(INDEX(rastreabilidade!$F:$H,0,MATCH(G$3,rastreabilidade!$F$1:$H$1,0)),rastreabilidade!$M:$M,$Q64),0))
-IF($J64="",0,IFERROR(SUMIFS(INDEX(rastreabilidade!$F:$H,0,MATCH(G$3,rastreabilidade!$F$1:$H$1,0)),rastreabilidade!$M:$M,$J64,rastreabilidade!$N:$N,$AM64),0))
-IF($K64="",0,IFERROR(SUMIFS(INDEX(rastreabilidade!$F:$H,0,MATCH(G$3,rastreabilidade!$F$1:$H$1,0)),rastreabilidade!$M:$M,$K64,rastreabilidade!$N:$N,$AM64),0))
-IF($L64="",0,IFERROR(SUMIFS(INDEX(rastreabilidade!$F:$H,0,MATCH(G$3,rastreabilidade!$F$1:$H$1,0)),rastreabilidade!$M:$M,$L64,rastreabilidade!$N:$N,$AM64),0))
-IF($M64="",0,IFERROR(SUMIFS(INDEX(rastreabilidade!$F:$H,0,MATCH(G$3,rastreabilidade!$F$1:$H$1,0)),rastreabilidade!$M:$M,$M64,rastreabilidade!$N:$N,$AM64),0))</f>
        <v>0</v>
      </c>
      <c r="H64" s="36"/>
      <c r="I64" s="155" t="str" cm="1">
        <f t="array" ref="I64">_xlfn.LET(
_xlpm.mem,H64,
_xlpm.retiradas,J64:M64,
_xlpm.adicoes,N64:Q64,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4" s="54"/>
      <c r="K64" s="54"/>
      <c r="L64" s="54"/>
      <c r="M64" s="54"/>
      <c r="N64" s="58"/>
      <c r="O64" s="58"/>
      <c r="P64" s="58"/>
      <c r="Q64" s="58"/>
      <c r="R64" s="4"/>
      <c r="S64" s="4"/>
      <c r="T64" s="4"/>
      <c r="U64" s="45"/>
      <c r="V64" s="4"/>
      <c r="W64" s="4"/>
      <c r="X64" s="4"/>
      <c r="Y64" s="4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L64" s="5"/>
      <c r="AM64" s="5" t="str">
        <f t="shared" si="4"/>
        <v>Dividas Fiscais LP|Passivo|Não Circulante</v>
      </c>
      <c r="AN64" s="5"/>
      <c r="AO64" s="5"/>
      <c r="AP64" s="5"/>
      <c r="AQ64" s="6"/>
      <c r="AR64" s="7"/>
      <c r="AS64" s="7"/>
      <c r="AT64" s="7"/>
    </row>
    <row r="65" spans="1:46" ht="35.1" customHeight="1" x14ac:dyDescent="0.25">
      <c r="A65" s="116" t="s">
        <v>111</v>
      </c>
      <c r="B65" s="125">
        <f>IFERROR(SUMIFS(INDEX(rastreabilidade!$F:$H,0,MATCH($B$2,rastreabilidade!$F$1:$H$1,0)),rastreabilidade!$K:$K,$A65,rastreabilidade!$D:$D,"Sim"),0)</f>
        <v>0</v>
      </c>
      <c r="C65" s="35"/>
      <c r="D65" s="4"/>
      <c r="E65" s="125">
        <f>IFERROR(SUMIFS(INDEX(rastreabilidade!$F:$H,0,MATCH(E$3,rastreabilidade!$F$1:$H$1,0)),rastreabilidade!$N:$N,$AM65),0)
+IF($N65="",0,IFERROR(SUMIFS(INDEX(rastreabilidade!$F:$H,0,MATCH(E$3,rastreabilidade!$F$1:$H$1,0)),rastreabilidade!$M:$M,$N65),0))
+IF($O65="",0,IFERROR(SUMIFS(INDEX(rastreabilidade!$F:$H,0,MATCH(E$3,rastreabilidade!$F$1:$H$1,0)),rastreabilidade!$M:$M,$O65),0))
+IF($P65="",0,IFERROR(SUMIFS(INDEX(rastreabilidade!$F:$H,0,MATCH(E$3,rastreabilidade!$F$1:$H$1,0)),rastreabilidade!$M:$M,$P65),0))
+IF($Q65="",0,IFERROR(SUMIFS(INDEX(rastreabilidade!$F:$H,0,MATCH(E$3,rastreabilidade!$F$1:$H$1,0)),rastreabilidade!$M:$M,$Q65),0))
-IF($J65="",0,IFERROR(SUMIFS(INDEX(rastreabilidade!$F:$H,0,MATCH(E$3,rastreabilidade!$F$1:$H$1,0)),rastreabilidade!$M:$M,$J65,rastreabilidade!$N:$N,$AM65),0))
-IF($K65="",0,IFERROR(SUMIFS(INDEX(rastreabilidade!$F:$H,0,MATCH(E$3,rastreabilidade!$F$1:$H$1,0)),rastreabilidade!$M:$M,$K65,rastreabilidade!$N:$N,$AM65),0))
-IF($L65="",0,IFERROR(SUMIFS(INDEX(rastreabilidade!$F:$H,0,MATCH(E$3,rastreabilidade!$F$1:$H$1,0)),rastreabilidade!$M:$M,$L65,rastreabilidade!$N:$N,$AM65),0))
-IF($M65="",0,IFERROR(SUMIFS(INDEX(rastreabilidade!$F:$H,0,MATCH(E$3,rastreabilidade!$F$1:$H$1,0)),rastreabilidade!$M:$M,$M65,rastreabilidade!$N:$N,$AM65),0))</f>
        <v>0</v>
      </c>
      <c r="F65" s="125">
        <f>IFERROR(SUMIFS(INDEX(rastreabilidade!$F:$H,0,MATCH(F$3,rastreabilidade!$F$1:$H$1,0)),rastreabilidade!$N:$N,$AM65),0)
+IF($N65="",0,IFERROR(SUMIFS(INDEX(rastreabilidade!$F:$H,0,MATCH(F$3,rastreabilidade!$F$1:$H$1,0)),rastreabilidade!$M:$M,$N65),0))
+IF($O65="",0,IFERROR(SUMIFS(INDEX(rastreabilidade!$F:$H,0,MATCH(F$3,rastreabilidade!$F$1:$H$1,0)),rastreabilidade!$M:$M,$O65),0))
+IF($P65="",0,IFERROR(SUMIFS(INDEX(rastreabilidade!$F:$H,0,MATCH(F$3,rastreabilidade!$F$1:$H$1,0)),rastreabilidade!$M:$M,$P65),0))
+IF($Q65="",0,IFERROR(SUMIFS(INDEX(rastreabilidade!$F:$H,0,MATCH(F$3,rastreabilidade!$F$1:$H$1,0)),rastreabilidade!$M:$M,$Q65),0))
-IF($J65="",0,IFERROR(SUMIFS(INDEX(rastreabilidade!$F:$H,0,MATCH(F$3,rastreabilidade!$F$1:$H$1,0)),rastreabilidade!$M:$M,$J65,rastreabilidade!$N:$N,$AM65),0))
-IF($K65="",0,IFERROR(SUMIFS(INDEX(rastreabilidade!$F:$H,0,MATCH(F$3,rastreabilidade!$F$1:$H$1,0)),rastreabilidade!$M:$M,$K65,rastreabilidade!$N:$N,$AM65),0))
-IF($L65="",0,IFERROR(SUMIFS(INDEX(rastreabilidade!$F:$H,0,MATCH(F$3,rastreabilidade!$F$1:$H$1,0)),rastreabilidade!$M:$M,$L65,rastreabilidade!$N:$N,$AM65),0))
-IF($M65="",0,IFERROR(SUMIFS(INDEX(rastreabilidade!$F:$H,0,MATCH(F$3,rastreabilidade!$F$1:$H$1,0)),rastreabilidade!$M:$M,$M65,rastreabilidade!$N:$N,$AM65),0))</f>
        <v>0</v>
      </c>
      <c r="G65" s="126">
        <f>IFERROR(SUMIFS(INDEX(rastreabilidade!$F:$H,0,MATCH(G$3,rastreabilidade!$F$1:$H$1,0)),rastreabilidade!$N:$N,$AM65),0)
+IF($N65="",0,IFERROR(SUMIFS(INDEX(rastreabilidade!$F:$H,0,MATCH(G$3,rastreabilidade!$F$1:$H$1,0)),rastreabilidade!$M:$M,$N65),0))
+IF($O65="",0,IFERROR(SUMIFS(INDEX(rastreabilidade!$F:$H,0,MATCH(G$3,rastreabilidade!$F$1:$H$1,0)),rastreabilidade!$M:$M,$O65),0))
+IF($P65="",0,IFERROR(SUMIFS(INDEX(rastreabilidade!$F:$H,0,MATCH(G$3,rastreabilidade!$F$1:$H$1,0)),rastreabilidade!$M:$M,$P65),0))
+IF($Q65="",0,IFERROR(SUMIFS(INDEX(rastreabilidade!$F:$H,0,MATCH(G$3,rastreabilidade!$F$1:$H$1,0)),rastreabilidade!$M:$M,$Q65),0))
-IF($J65="",0,IFERROR(SUMIFS(INDEX(rastreabilidade!$F:$H,0,MATCH(G$3,rastreabilidade!$F$1:$H$1,0)),rastreabilidade!$M:$M,$J65,rastreabilidade!$N:$N,$AM65),0))
-IF($K65="",0,IFERROR(SUMIFS(INDEX(rastreabilidade!$F:$H,0,MATCH(G$3,rastreabilidade!$F$1:$H$1,0)),rastreabilidade!$M:$M,$K65,rastreabilidade!$N:$N,$AM65),0))
-IF($L65="",0,IFERROR(SUMIFS(INDEX(rastreabilidade!$F:$H,0,MATCH(G$3,rastreabilidade!$F$1:$H$1,0)),rastreabilidade!$M:$M,$L65,rastreabilidade!$N:$N,$AM65),0))
-IF($M65="",0,IFERROR(SUMIFS(INDEX(rastreabilidade!$F:$H,0,MATCH(G$3,rastreabilidade!$F$1:$H$1,0)),rastreabilidade!$M:$M,$M65,rastreabilidade!$N:$N,$AM65),0))</f>
        <v>0</v>
      </c>
      <c r="H65" s="36"/>
      <c r="I65" s="155" t="str" cm="1">
        <f t="array" ref="I65">_xlfn.LET(
_xlpm.mem,H65,
_xlpm.retiradas,J65:M65,
_xlpm.adicoes,N65:Q65,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5" s="54"/>
      <c r="K65" s="54"/>
      <c r="L65" s="54"/>
      <c r="M65" s="54"/>
      <c r="N65" s="58"/>
      <c r="O65" s="58"/>
      <c r="P65" s="58"/>
      <c r="Q65" s="58"/>
      <c r="R65" s="4"/>
      <c r="S65" s="4"/>
      <c r="T65" s="4"/>
      <c r="U65" s="45"/>
      <c r="V65" s="4"/>
      <c r="W65" s="4"/>
      <c r="X65" s="4"/>
      <c r="Y65" s="4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L65" s="5"/>
      <c r="AM65" s="5" t="str">
        <f t="shared" si="4"/>
        <v>Ajustes derivativos / cambio (PNC)|Passivo|Não Circulante</v>
      </c>
      <c r="AN65" s="5"/>
      <c r="AO65" s="5"/>
      <c r="AP65" s="5"/>
      <c r="AQ65" s="6"/>
      <c r="AR65" s="7"/>
      <c r="AS65" s="7"/>
      <c r="AT65" s="7"/>
    </row>
    <row r="66" spans="1:46" ht="35.1" customHeight="1" x14ac:dyDescent="0.25">
      <c r="A66" s="89" t="s">
        <v>112</v>
      </c>
      <c r="B66" s="141">
        <f>IFERROR(SUMIFS(INDEX(rastreabilidade!$F:$H,0,MATCH($B$2,rastreabilidade!$F$1:$H$1,0)),rastreabilidade!$K:$K,$A66,rastreabilidade!$D:$D,"Sim"),0)</f>
        <v>0</v>
      </c>
      <c r="C66" s="35"/>
      <c r="D66" s="4"/>
      <c r="E66" s="141">
        <f>IFERROR(SUMIFS(INDEX(rastreabilidade!$F:$H,0,MATCH(E$3,rastreabilidade!$F$1:$H$1,0)),rastreabilidade!$N:$N,$AM66),0)
+IF($N66="",0,IFERROR(SUMIFS(INDEX(rastreabilidade!$F:$H,0,MATCH(E$3,rastreabilidade!$F$1:$H$1,0)),rastreabilidade!$M:$M,$N66),0))
+IF($O66="",0,IFERROR(SUMIFS(INDEX(rastreabilidade!$F:$H,0,MATCH(E$3,rastreabilidade!$F$1:$H$1,0)),rastreabilidade!$M:$M,$O66),0))
+IF($P66="",0,IFERROR(SUMIFS(INDEX(rastreabilidade!$F:$H,0,MATCH(E$3,rastreabilidade!$F$1:$H$1,0)),rastreabilidade!$M:$M,$P66),0))
+IF($Q66="",0,IFERROR(SUMIFS(INDEX(rastreabilidade!$F:$H,0,MATCH(E$3,rastreabilidade!$F$1:$H$1,0)),rastreabilidade!$M:$M,$Q66),0))
-IF($J66="",0,IFERROR(SUMIFS(INDEX(rastreabilidade!$F:$H,0,MATCH(E$3,rastreabilidade!$F$1:$H$1,0)),rastreabilidade!$M:$M,$J66,rastreabilidade!$N:$N,$AM66),0))
-IF($K66="",0,IFERROR(SUMIFS(INDEX(rastreabilidade!$F:$H,0,MATCH(E$3,rastreabilidade!$F$1:$H$1,0)),rastreabilidade!$M:$M,$K66,rastreabilidade!$N:$N,$AM66),0))
-IF($L66="",0,IFERROR(SUMIFS(INDEX(rastreabilidade!$F:$H,0,MATCH(E$3,rastreabilidade!$F$1:$H$1,0)),rastreabilidade!$M:$M,$L66,rastreabilidade!$N:$N,$AM66),0))
-IF($M66="",0,IFERROR(SUMIFS(INDEX(rastreabilidade!$F:$H,0,MATCH(E$3,rastreabilidade!$F$1:$H$1,0)),rastreabilidade!$M:$M,$M66,rastreabilidade!$N:$N,$AM66),0))</f>
        <v>0</v>
      </c>
      <c r="F66" s="141">
        <f>IFERROR(SUMIFS(INDEX(rastreabilidade!$F:$H,0,MATCH(F$3,rastreabilidade!$F$1:$H$1,0)),rastreabilidade!$N:$N,$AM66),0)
+IF($N66="",0,IFERROR(SUMIFS(INDEX(rastreabilidade!$F:$H,0,MATCH(F$3,rastreabilidade!$F$1:$H$1,0)),rastreabilidade!$M:$M,$N66),0))
+IF($O66="",0,IFERROR(SUMIFS(INDEX(rastreabilidade!$F:$H,0,MATCH(F$3,rastreabilidade!$F$1:$H$1,0)),rastreabilidade!$M:$M,$O66),0))
+IF($P66="",0,IFERROR(SUMIFS(INDEX(rastreabilidade!$F:$H,0,MATCH(F$3,rastreabilidade!$F$1:$H$1,0)),rastreabilidade!$M:$M,$P66),0))
+IF($Q66="",0,IFERROR(SUMIFS(INDEX(rastreabilidade!$F:$H,0,MATCH(F$3,rastreabilidade!$F$1:$H$1,0)),rastreabilidade!$M:$M,$Q66),0))
-IF($J66="",0,IFERROR(SUMIFS(INDEX(rastreabilidade!$F:$H,0,MATCH(F$3,rastreabilidade!$F$1:$H$1,0)),rastreabilidade!$M:$M,$J66,rastreabilidade!$N:$N,$AM66),0))
-IF($K66="",0,IFERROR(SUMIFS(INDEX(rastreabilidade!$F:$H,0,MATCH(F$3,rastreabilidade!$F$1:$H$1,0)),rastreabilidade!$M:$M,$K66,rastreabilidade!$N:$N,$AM66),0))
-IF($L66="",0,IFERROR(SUMIFS(INDEX(rastreabilidade!$F:$H,0,MATCH(F$3,rastreabilidade!$F$1:$H$1,0)),rastreabilidade!$M:$M,$L66,rastreabilidade!$N:$N,$AM66),0))
-IF($M66="",0,IFERROR(SUMIFS(INDEX(rastreabilidade!$F:$H,0,MATCH(F$3,rastreabilidade!$F$1:$H$1,0)),rastreabilidade!$M:$M,$M66,rastreabilidade!$N:$N,$AM66),0))</f>
        <v>0</v>
      </c>
      <c r="G66" s="142">
        <f>IFERROR(SUMIFS(INDEX(rastreabilidade!$F:$H,0,MATCH(G$3,rastreabilidade!$F$1:$H$1,0)),rastreabilidade!$N:$N,$AM66),0)
+IF($N66="",0,IFERROR(SUMIFS(INDEX(rastreabilidade!$F:$H,0,MATCH(G$3,rastreabilidade!$F$1:$H$1,0)),rastreabilidade!$M:$M,$N66),0))
+IF($O66="",0,IFERROR(SUMIFS(INDEX(rastreabilidade!$F:$H,0,MATCH(G$3,rastreabilidade!$F$1:$H$1,0)),rastreabilidade!$M:$M,$O66),0))
+IF($P66="",0,IFERROR(SUMIFS(INDEX(rastreabilidade!$F:$H,0,MATCH(G$3,rastreabilidade!$F$1:$H$1,0)),rastreabilidade!$M:$M,$P66),0))
+IF($Q66="",0,IFERROR(SUMIFS(INDEX(rastreabilidade!$F:$H,0,MATCH(G$3,rastreabilidade!$F$1:$H$1,0)),rastreabilidade!$M:$M,$Q66),0))
-IF($J66="",0,IFERROR(SUMIFS(INDEX(rastreabilidade!$F:$H,0,MATCH(G$3,rastreabilidade!$F$1:$H$1,0)),rastreabilidade!$M:$M,$J66,rastreabilidade!$N:$N,$AM66),0))
-IF($K66="",0,IFERROR(SUMIFS(INDEX(rastreabilidade!$F:$H,0,MATCH(G$3,rastreabilidade!$F$1:$H$1,0)),rastreabilidade!$M:$M,$K66,rastreabilidade!$N:$N,$AM66),0))
-IF($L66="",0,IFERROR(SUMIFS(INDEX(rastreabilidade!$F:$H,0,MATCH(G$3,rastreabilidade!$F$1:$H$1,0)),rastreabilidade!$M:$M,$L66,rastreabilidade!$N:$N,$AM66),0))
-IF($M66="",0,IFERROR(SUMIFS(INDEX(rastreabilidade!$F:$H,0,MATCH(G$3,rastreabilidade!$F$1:$H$1,0)),rastreabilidade!$M:$M,$M66,rastreabilidade!$N:$N,$AM66),0))</f>
        <v>0</v>
      </c>
      <c r="H66" s="36"/>
      <c r="I66" s="155" t="str" cm="1">
        <f t="array" ref="I66">_xlfn.LET(
_xlpm.mem,H66,
_xlpm.retiradas,J66:M66,
_xlpm.adicoes,N66:Q66,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6" s="54"/>
      <c r="K66" s="54"/>
      <c r="L66" s="54"/>
      <c r="M66" s="54"/>
      <c r="N66" s="58"/>
      <c r="O66" s="58"/>
      <c r="P66" s="58"/>
      <c r="Q66" s="58"/>
      <c r="R66" s="4"/>
      <c r="S66" s="4"/>
      <c r="T66" s="4"/>
      <c r="U66" s="45"/>
      <c r="V66" s="4"/>
      <c r="W66" s="4"/>
      <c r="X66" s="4"/>
      <c r="Y66" s="4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  <c r="AL66" s="5"/>
      <c r="AM66" s="5" t="str">
        <f t="shared" si="4"/>
        <v>Passivo de Arrendamento LP|Passivo|Não Circulante</v>
      </c>
      <c r="AN66" s="5"/>
      <c r="AO66" s="5"/>
      <c r="AP66" s="5"/>
      <c r="AQ66" s="6"/>
      <c r="AR66" s="7"/>
      <c r="AS66" s="7"/>
      <c r="AT66" s="7"/>
    </row>
    <row r="67" spans="1:46" ht="35.1" customHeight="1" x14ac:dyDescent="0.25">
      <c r="A67" s="78" t="s">
        <v>61</v>
      </c>
      <c r="B67" s="131">
        <f>IFERROR(SUMIFS(INDEX(rastreabilidade!$F:$H,0,MATCH($B$2,rastreabilidade!$F$1:$H$1,0)),rastreabilidade!$K:$K,$A67,rastreabilidade!$D:$D,"Sim"),0)</f>
        <v>0</v>
      </c>
      <c r="C67" s="35"/>
      <c r="D67" s="4"/>
      <c r="E67" s="131">
        <f>IFERROR(SUMIFS(INDEX(rastreabilidade!$F:$H,0,MATCH(E$3,rastreabilidade!$F$1:$H$1,0)),rastreabilidade!$N:$N,$AM67),0)
+IF($N67="",0,IFERROR(SUMIFS(INDEX(rastreabilidade!$F:$H,0,MATCH(E$3,rastreabilidade!$F$1:$H$1,0)),rastreabilidade!$M:$M,$N67),0))
+IF($O67="",0,IFERROR(SUMIFS(INDEX(rastreabilidade!$F:$H,0,MATCH(E$3,rastreabilidade!$F$1:$H$1,0)),rastreabilidade!$M:$M,$O67),0))
+IF($P67="",0,IFERROR(SUMIFS(INDEX(rastreabilidade!$F:$H,0,MATCH(E$3,rastreabilidade!$F$1:$H$1,0)),rastreabilidade!$M:$M,$P67),0))
+IF($Q67="",0,IFERROR(SUMIFS(INDEX(rastreabilidade!$F:$H,0,MATCH(E$3,rastreabilidade!$F$1:$H$1,0)),rastreabilidade!$M:$M,$Q67),0))
-IF($J67="",0,IFERROR(SUMIFS(INDEX(rastreabilidade!$F:$H,0,MATCH(E$3,rastreabilidade!$F$1:$H$1,0)),rastreabilidade!$M:$M,$J67,rastreabilidade!$N:$N,$AM67),0))
-IF($K67="",0,IFERROR(SUMIFS(INDEX(rastreabilidade!$F:$H,0,MATCH(E$3,rastreabilidade!$F$1:$H$1,0)),rastreabilidade!$M:$M,$K67,rastreabilidade!$N:$N,$AM67),0))
-IF($L67="",0,IFERROR(SUMIFS(INDEX(rastreabilidade!$F:$H,0,MATCH(E$3,rastreabilidade!$F$1:$H$1,0)),rastreabilidade!$M:$M,$L67,rastreabilidade!$N:$N,$AM67),0))
-IF($M67="",0,IFERROR(SUMIFS(INDEX(rastreabilidade!$F:$H,0,MATCH(E$3,rastreabilidade!$F$1:$H$1,0)),rastreabilidade!$M:$M,$M67,rastreabilidade!$N:$N,$AM67),0))</f>
        <v>0</v>
      </c>
      <c r="F67" s="131">
        <f>IFERROR(SUMIFS(INDEX(rastreabilidade!$F:$H,0,MATCH(F$3,rastreabilidade!$F$1:$H$1,0)),rastreabilidade!$N:$N,$AM67),0)
+IF($N67="",0,IFERROR(SUMIFS(INDEX(rastreabilidade!$F:$H,0,MATCH(F$3,rastreabilidade!$F$1:$H$1,0)),rastreabilidade!$M:$M,$N67),0))
+IF($O67="",0,IFERROR(SUMIFS(INDEX(rastreabilidade!$F:$H,0,MATCH(F$3,rastreabilidade!$F$1:$H$1,0)),rastreabilidade!$M:$M,$O67),0))
+IF($P67="",0,IFERROR(SUMIFS(INDEX(rastreabilidade!$F:$H,0,MATCH(F$3,rastreabilidade!$F$1:$H$1,0)),rastreabilidade!$M:$M,$P67),0))
+IF($Q67="",0,IFERROR(SUMIFS(INDEX(rastreabilidade!$F:$H,0,MATCH(F$3,rastreabilidade!$F$1:$H$1,0)),rastreabilidade!$M:$M,$Q67),0))
-IF($J67="",0,IFERROR(SUMIFS(INDEX(rastreabilidade!$F:$H,0,MATCH(F$3,rastreabilidade!$F$1:$H$1,0)),rastreabilidade!$M:$M,$J67,rastreabilidade!$N:$N,$AM67),0))
-IF($K67="",0,IFERROR(SUMIFS(INDEX(rastreabilidade!$F:$H,0,MATCH(F$3,rastreabilidade!$F$1:$H$1,0)),rastreabilidade!$M:$M,$K67,rastreabilidade!$N:$N,$AM67),0))
-IF($L67="",0,IFERROR(SUMIFS(INDEX(rastreabilidade!$F:$H,0,MATCH(F$3,rastreabilidade!$F$1:$H$1,0)),rastreabilidade!$M:$M,$L67,rastreabilidade!$N:$N,$AM67),0))
-IF($M67="",0,IFERROR(SUMIFS(INDEX(rastreabilidade!$F:$H,0,MATCH(F$3,rastreabilidade!$F$1:$H$1,0)),rastreabilidade!$M:$M,$M67,rastreabilidade!$N:$N,$AM67),0))</f>
        <v>0</v>
      </c>
      <c r="G67" s="132">
        <f>IFERROR(SUMIFS(INDEX(rastreabilidade!$F:$H,0,MATCH(G$3,rastreabilidade!$F$1:$H$1,0)),rastreabilidade!$N:$N,$AM67),0)
+IF($N67="",0,IFERROR(SUMIFS(INDEX(rastreabilidade!$F:$H,0,MATCH(G$3,rastreabilidade!$F$1:$H$1,0)),rastreabilidade!$M:$M,$N67),0))
+IF($O67="",0,IFERROR(SUMIFS(INDEX(rastreabilidade!$F:$H,0,MATCH(G$3,rastreabilidade!$F$1:$H$1,0)),rastreabilidade!$M:$M,$O67),0))
+IF($P67="",0,IFERROR(SUMIFS(INDEX(rastreabilidade!$F:$H,0,MATCH(G$3,rastreabilidade!$F$1:$H$1,0)),rastreabilidade!$M:$M,$P67),0))
+IF($Q67="",0,IFERROR(SUMIFS(INDEX(rastreabilidade!$F:$H,0,MATCH(G$3,rastreabilidade!$F$1:$H$1,0)),rastreabilidade!$M:$M,$Q67),0))
-IF($J67="",0,IFERROR(SUMIFS(INDEX(rastreabilidade!$F:$H,0,MATCH(G$3,rastreabilidade!$F$1:$H$1,0)),rastreabilidade!$M:$M,$J67,rastreabilidade!$N:$N,$AM67),0))
-IF($K67="",0,IFERROR(SUMIFS(INDEX(rastreabilidade!$F:$H,0,MATCH(G$3,rastreabilidade!$F$1:$H$1,0)),rastreabilidade!$M:$M,$K67,rastreabilidade!$N:$N,$AM67),0))
-IF($L67="",0,IFERROR(SUMIFS(INDEX(rastreabilidade!$F:$H,0,MATCH(G$3,rastreabilidade!$F$1:$H$1,0)),rastreabilidade!$M:$M,$L67,rastreabilidade!$N:$N,$AM67),0))
-IF($M67="",0,IFERROR(SUMIFS(INDEX(rastreabilidade!$F:$H,0,MATCH(G$3,rastreabilidade!$F$1:$H$1,0)),rastreabilidade!$M:$M,$M67,rastreabilidade!$N:$N,$AM67),0))</f>
        <v>0</v>
      </c>
      <c r="H67" s="36"/>
      <c r="I67" s="155" t="str" cm="1">
        <f t="array" ref="I67">_xlfn.LET(
_xlpm.mem,H67,
_xlpm.retiradas,J67:M67,
_xlpm.adicoes,N67:Q67,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7" s="54"/>
      <c r="K67" s="54"/>
      <c r="L67" s="54"/>
      <c r="M67" s="54"/>
      <c r="N67" s="58"/>
      <c r="O67" s="58"/>
      <c r="P67" s="58"/>
      <c r="Q67" s="58"/>
      <c r="R67" s="4"/>
      <c r="S67" s="4"/>
      <c r="T67" s="4"/>
      <c r="U67" s="45"/>
      <c r="V67" s="4"/>
      <c r="W67" s="4"/>
      <c r="X67" s="4"/>
      <c r="Y67" s="4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  <c r="AL67" s="5"/>
      <c r="AM67" s="5" t="str">
        <f t="shared" si="4"/>
        <v>Mútuo Financeiro LP|Passivo|Não Circulante</v>
      </c>
      <c r="AN67" s="5"/>
      <c r="AO67" s="5"/>
      <c r="AP67" s="5"/>
      <c r="AQ67" s="6"/>
      <c r="AR67" s="7"/>
      <c r="AS67" s="7"/>
      <c r="AT67" s="7"/>
    </row>
    <row r="68" spans="1:46" ht="35.1" customHeight="1" x14ac:dyDescent="0.25">
      <c r="A68" s="78" t="s">
        <v>113</v>
      </c>
      <c r="B68" s="131">
        <f>IFERROR(SUMIFS(INDEX(rastreabilidade!$F:$H,0,MATCH($B$2,rastreabilidade!$F$1:$H$1,0)),rastreabilidade!$K:$K,$A68,rastreabilidade!$D:$D,"Sim"),0)</f>
        <v>0</v>
      </c>
      <c r="C68" s="35"/>
      <c r="D68" s="4"/>
      <c r="E68" s="131">
        <f>IFERROR(SUMIFS(INDEX(rastreabilidade!$F:$H,0,MATCH(E$3,rastreabilidade!$F$1:$H$1,0)),rastreabilidade!$N:$N,$AM68),0)
+IF($N68="",0,IFERROR(SUMIFS(INDEX(rastreabilidade!$F:$H,0,MATCH(E$3,rastreabilidade!$F$1:$H$1,0)),rastreabilidade!$M:$M,$N68),0))
+IF($O68="",0,IFERROR(SUMIFS(INDEX(rastreabilidade!$F:$H,0,MATCH(E$3,rastreabilidade!$F$1:$H$1,0)),rastreabilidade!$M:$M,$O68),0))
+IF($P68="",0,IFERROR(SUMIFS(INDEX(rastreabilidade!$F:$H,0,MATCH(E$3,rastreabilidade!$F$1:$H$1,0)),rastreabilidade!$M:$M,$P68),0))
+IF($Q68="",0,IFERROR(SUMIFS(INDEX(rastreabilidade!$F:$H,0,MATCH(E$3,rastreabilidade!$F$1:$H$1,0)),rastreabilidade!$M:$M,$Q68),0))
-IF($J68="",0,IFERROR(SUMIFS(INDEX(rastreabilidade!$F:$H,0,MATCH(E$3,rastreabilidade!$F$1:$H$1,0)),rastreabilidade!$M:$M,$J68,rastreabilidade!$N:$N,$AM68),0))
-IF($K68="",0,IFERROR(SUMIFS(INDEX(rastreabilidade!$F:$H,0,MATCH(E$3,rastreabilidade!$F$1:$H$1,0)),rastreabilidade!$M:$M,$K68,rastreabilidade!$N:$N,$AM68),0))
-IF($L68="",0,IFERROR(SUMIFS(INDEX(rastreabilidade!$F:$H,0,MATCH(E$3,rastreabilidade!$F$1:$H$1,0)),rastreabilidade!$M:$M,$L68,rastreabilidade!$N:$N,$AM68),0))
-IF($M68="",0,IFERROR(SUMIFS(INDEX(rastreabilidade!$F:$H,0,MATCH(E$3,rastreabilidade!$F$1:$H$1,0)),rastreabilidade!$M:$M,$M68,rastreabilidade!$N:$N,$AM68),0))</f>
        <v>0</v>
      </c>
      <c r="F68" s="131">
        <f>IFERROR(SUMIFS(INDEX(rastreabilidade!$F:$H,0,MATCH(F$3,rastreabilidade!$F$1:$H$1,0)),rastreabilidade!$N:$N,$AM68),0)
+IF($N68="",0,IFERROR(SUMIFS(INDEX(rastreabilidade!$F:$H,0,MATCH(F$3,rastreabilidade!$F$1:$H$1,0)),rastreabilidade!$M:$M,$N68),0))
+IF($O68="",0,IFERROR(SUMIFS(INDEX(rastreabilidade!$F:$H,0,MATCH(F$3,rastreabilidade!$F$1:$H$1,0)),rastreabilidade!$M:$M,$O68),0))
+IF($P68="",0,IFERROR(SUMIFS(INDEX(rastreabilidade!$F:$H,0,MATCH(F$3,rastreabilidade!$F$1:$H$1,0)),rastreabilidade!$M:$M,$P68),0))
+IF($Q68="",0,IFERROR(SUMIFS(INDEX(rastreabilidade!$F:$H,0,MATCH(F$3,rastreabilidade!$F$1:$H$1,0)),rastreabilidade!$M:$M,$Q68),0))
-IF($J68="",0,IFERROR(SUMIFS(INDEX(rastreabilidade!$F:$H,0,MATCH(F$3,rastreabilidade!$F$1:$H$1,0)),rastreabilidade!$M:$M,$J68,rastreabilidade!$N:$N,$AM68),0))
-IF($K68="",0,IFERROR(SUMIFS(INDEX(rastreabilidade!$F:$H,0,MATCH(F$3,rastreabilidade!$F$1:$H$1,0)),rastreabilidade!$M:$M,$K68,rastreabilidade!$N:$N,$AM68),0))
-IF($L68="",0,IFERROR(SUMIFS(INDEX(rastreabilidade!$F:$H,0,MATCH(F$3,rastreabilidade!$F$1:$H$1,0)),rastreabilidade!$M:$M,$L68,rastreabilidade!$N:$N,$AM68),0))
-IF($M68="",0,IFERROR(SUMIFS(INDEX(rastreabilidade!$F:$H,0,MATCH(F$3,rastreabilidade!$F$1:$H$1,0)),rastreabilidade!$M:$M,$M68,rastreabilidade!$N:$N,$AM68),0))</f>
        <v>0</v>
      </c>
      <c r="G68" s="132">
        <f>IFERROR(SUMIFS(INDEX(rastreabilidade!$F:$H,0,MATCH(G$3,rastreabilidade!$F$1:$H$1,0)),rastreabilidade!$N:$N,$AM68),0)
+IF($N68="",0,IFERROR(SUMIFS(INDEX(rastreabilidade!$F:$H,0,MATCH(G$3,rastreabilidade!$F$1:$H$1,0)),rastreabilidade!$M:$M,$N68),0))
+IF($O68="",0,IFERROR(SUMIFS(INDEX(rastreabilidade!$F:$H,0,MATCH(G$3,rastreabilidade!$F$1:$H$1,0)),rastreabilidade!$M:$M,$O68),0))
+IF($P68="",0,IFERROR(SUMIFS(INDEX(rastreabilidade!$F:$H,0,MATCH(G$3,rastreabilidade!$F$1:$H$1,0)),rastreabilidade!$M:$M,$P68),0))
+IF($Q68="",0,IFERROR(SUMIFS(INDEX(rastreabilidade!$F:$H,0,MATCH(G$3,rastreabilidade!$F$1:$H$1,0)),rastreabilidade!$M:$M,$Q68),0))
-IF($J68="",0,IFERROR(SUMIFS(INDEX(rastreabilidade!$F:$H,0,MATCH(G$3,rastreabilidade!$F$1:$H$1,0)),rastreabilidade!$M:$M,$J68,rastreabilidade!$N:$N,$AM68),0))
-IF($K68="",0,IFERROR(SUMIFS(INDEX(rastreabilidade!$F:$H,0,MATCH(G$3,rastreabilidade!$F$1:$H$1,0)),rastreabilidade!$M:$M,$K68,rastreabilidade!$N:$N,$AM68),0))
-IF($L68="",0,IFERROR(SUMIFS(INDEX(rastreabilidade!$F:$H,0,MATCH(G$3,rastreabilidade!$F$1:$H$1,0)),rastreabilidade!$M:$M,$L68,rastreabilidade!$N:$N,$AM68),0))
-IF($M68="",0,IFERROR(SUMIFS(INDEX(rastreabilidade!$F:$H,0,MATCH(G$3,rastreabilidade!$F$1:$H$1,0)),rastreabilidade!$M:$M,$M68,rastreabilidade!$N:$N,$AM68),0))</f>
        <v>0</v>
      </c>
      <c r="H68" s="36"/>
      <c r="I68" s="155" t="str" cm="1">
        <f t="array" ref="I68">_xlfn.LET(
_xlpm.mem,H68,
_xlpm.retiradas,J68:M68,
_xlpm.adicoes,N68:Q68,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8" s="54"/>
      <c r="K68" s="54"/>
      <c r="L68" s="54"/>
      <c r="M68" s="54"/>
      <c r="N68" s="58"/>
      <c r="O68" s="58"/>
      <c r="P68" s="58"/>
      <c r="Q68" s="58"/>
      <c r="R68" s="4"/>
      <c r="S68" s="4"/>
      <c r="T68" s="4"/>
      <c r="U68" s="45"/>
      <c r="V68" s="4"/>
      <c r="W68" s="4"/>
      <c r="X68" s="4"/>
      <c r="Y68" s="4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L68" s="5"/>
      <c r="AM68" s="5" t="str">
        <f t="shared" si="4"/>
        <v>Provisões|Passivo|Não Circulante</v>
      </c>
      <c r="AN68" s="5"/>
      <c r="AO68" s="5"/>
      <c r="AP68" s="5"/>
      <c r="AQ68" s="6"/>
      <c r="AR68" s="7"/>
      <c r="AS68" s="7"/>
      <c r="AT68" s="7"/>
    </row>
    <row r="69" spans="1:46" ht="35.1" customHeight="1" x14ac:dyDescent="0.25">
      <c r="A69" s="117" t="s">
        <v>114</v>
      </c>
      <c r="B69" s="131">
        <f>IFERROR(SUMIFS(INDEX(rastreabilidade!$F:$H,0,MATCH($B$2,rastreabilidade!$F$1:$H$1,0)),rastreabilidade!$K:$K,$A69,rastreabilidade!$D:$D,"Sim"),0)</f>
        <v>0</v>
      </c>
      <c r="C69" s="35"/>
      <c r="D69" s="4"/>
      <c r="E69" s="131">
        <f>IFERROR(SUMIFS(INDEX(rastreabilidade!$F:$H,0,MATCH(E$3,rastreabilidade!$F$1:$H$1,0)),rastreabilidade!$N:$N,$AM69),0)
+IF($N69="",0,IFERROR(SUMIFS(INDEX(rastreabilidade!$F:$H,0,MATCH(E$3,rastreabilidade!$F$1:$H$1,0)),rastreabilidade!$M:$M,$N69),0))
+IF($O69="",0,IFERROR(SUMIFS(INDEX(rastreabilidade!$F:$H,0,MATCH(E$3,rastreabilidade!$F$1:$H$1,0)),rastreabilidade!$M:$M,$O69),0))
+IF($P69="",0,IFERROR(SUMIFS(INDEX(rastreabilidade!$F:$H,0,MATCH(E$3,rastreabilidade!$F$1:$H$1,0)),rastreabilidade!$M:$M,$P69),0))
+IF($Q69="",0,IFERROR(SUMIFS(INDEX(rastreabilidade!$F:$H,0,MATCH(E$3,rastreabilidade!$F$1:$H$1,0)),rastreabilidade!$M:$M,$Q69),0))
-IF($J69="",0,IFERROR(SUMIFS(INDEX(rastreabilidade!$F:$H,0,MATCH(E$3,rastreabilidade!$F$1:$H$1,0)),rastreabilidade!$M:$M,$J69,rastreabilidade!$N:$N,$AM69),0))
-IF($K69="",0,IFERROR(SUMIFS(INDEX(rastreabilidade!$F:$H,0,MATCH(E$3,rastreabilidade!$F$1:$H$1,0)),rastreabilidade!$M:$M,$K69,rastreabilidade!$N:$N,$AM69),0))
-IF($L69="",0,IFERROR(SUMIFS(INDEX(rastreabilidade!$F:$H,0,MATCH(E$3,rastreabilidade!$F$1:$H$1,0)),rastreabilidade!$M:$M,$L69,rastreabilidade!$N:$N,$AM69),0))
-IF($M69="",0,IFERROR(SUMIFS(INDEX(rastreabilidade!$F:$H,0,MATCH(E$3,rastreabilidade!$F$1:$H$1,0)),rastreabilidade!$M:$M,$M69,rastreabilidade!$N:$N,$AM69),0))</f>
        <v>0</v>
      </c>
      <c r="F69" s="131">
        <f>IFERROR(SUMIFS(INDEX(rastreabilidade!$F:$H,0,MATCH(F$3,rastreabilidade!$F$1:$H$1,0)),rastreabilidade!$N:$N,$AM69),0)
+IF($N69="",0,IFERROR(SUMIFS(INDEX(rastreabilidade!$F:$H,0,MATCH(F$3,rastreabilidade!$F$1:$H$1,0)),rastreabilidade!$M:$M,$N69),0))
+IF($O69="",0,IFERROR(SUMIFS(INDEX(rastreabilidade!$F:$H,0,MATCH(F$3,rastreabilidade!$F$1:$H$1,0)),rastreabilidade!$M:$M,$O69),0))
+IF($P69="",0,IFERROR(SUMIFS(INDEX(rastreabilidade!$F:$H,0,MATCH(F$3,rastreabilidade!$F$1:$H$1,0)),rastreabilidade!$M:$M,$P69),0))
+IF($Q69="",0,IFERROR(SUMIFS(INDEX(rastreabilidade!$F:$H,0,MATCH(F$3,rastreabilidade!$F$1:$H$1,0)),rastreabilidade!$M:$M,$Q69),0))
-IF($J69="",0,IFERROR(SUMIFS(INDEX(rastreabilidade!$F:$H,0,MATCH(F$3,rastreabilidade!$F$1:$H$1,0)),rastreabilidade!$M:$M,$J69,rastreabilidade!$N:$N,$AM69),0))
-IF($K69="",0,IFERROR(SUMIFS(INDEX(rastreabilidade!$F:$H,0,MATCH(F$3,rastreabilidade!$F$1:$H$1,0)),rastreabilidade!$M:$M,$K69,rastreabilidade!$N:$N,$AM69),0))
-IF($L69="",0,IFERROR(SUMIFS(INDEX(rastreabilidade!$F:$H,0,MATCH(F$3,rastreabilidade!$F$1:$H$1,0)),rastreabilidade!$M:$M,$L69,rastreabilidade!$N:$N,$AM69),0))
-IF($M69="",0,IFERROR(SUMIFS(INDEX(rastreabilidade!$F:$H,0,MATCH(F$3,rastreabilidade!$F$1:$H$1,0)),rastreabilidade!$M:$M,$M69,rastreabilidade!$N:$N,$AM69),0))</f>
        <v>0</v>
      </c>
      <c r="G69" s="132">
        <f>IFERROR(SUMIFS(INDEX(rastreabilidade!$F:$H,0,MATCH(G$3,rastreabilidade!$F$1:$H$1,0)),rastreabilidade!$N:$N,$AM69),0)
+IF($N69="",0,IFERROR(SUMIFS(INDEX(rastreabilidade!$F:$H,0,MATCH(G$3,rastreabilidade!$F$1:$H$1,0)),rastreabilidade!$M:$M,$N69),0))
+IF($O69="",0,IFERROR(SUMIFS(INDEX(rastreabilidade!$F:$H,0,MATCH(G$3,rastreabilidade!$F$1:$H$1,0)),rastreabilidade!$M:$M,$O69),0))
+IF($P69="",0,IFERROR(SUMIFS(INDEX(rastreabilidade!$F:$H,0,MATCH(G$3,rastreabilidade!$F$1:$H$1,0)),rastreabilidade!$M:$M,$P69),0))
+IF($Q69="",0,IFERROR(SUMIFS(INDEX(rastreabilidade!$F:$H,0,MATCH(G$3,rastreabilidade!$F$1:$H$1,0)),rastreabilidade!$M:$M,$Q69),0))
-IF($J69="",0,IFERROR(SUMIFS(INDEX(rastreabilidade!$F:$H,0,MATCH(G$3,rastreabilidade!$F$1:$H$1,0)),rastreabilidade!$M:$M,$J69,rastreabilidade!$N:$N,$AM69),0))
-IF($K69="",0,IFERROR(SUMIFS(INDEX(rastreabilidade!$F:$H,0,MATCH(G$3,rastreabilidade!$F$1:$H$1,0)),rastreabilidade!$M:$M,$K69,rastreabilidade!$N:$N,$AM69),0))
-IF($L69="",0,IFERROR(SUMIFS(INDEX(rastreabilidade!$F:$H,0,MATCH(G$3,rastreabilidade!$F$1:$H$1,0)),rastreabilidade!$M:$M,$L69,rastreabilidade!$N:$N,$AM69),0))
-IF($M69="",0,IFERROR(SUMIFS(INDEX(rastreabilidade!$F:$H,0,MATCH(G$3,rastreabilidade!$F$1:$H$1,0)),rastreabilidade!$M:$M,$M69,rastreabilidade!$N:$N,$AM69),0))</f>
        <v>0</v>
      </c>
      <c r="H69" s="36"/>
      <c r="I69" s="155" t="str" cm="1">
        <f t="array" ref="I69">_xlfn.LET(
_xlpm.mem,H69,
_xlpm.retiradas,J69:M69,
_xlpm.adicoes,N69:Q69,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69" s="54"/>
      <c r="K69" s="54"/>
      <c r="L69" s="54"/>
      <c r="M69" s="54"/>
      <c r="N69" s="58"/>
      <c r="O69" s="58"/>
      <c r="P69" s="58"/>
      <c r="Q69" s="58"/>
      <c r="R69" s="4"/>
      <c r="S69" s="4"/>
      <c r="T69" s="4"/>
      <c r="U69" s="45"/>
      <c r="V69" s="4"/>
      <c r="W69" s="4"/>
      <c r="X69" s="4"/>
      <c r="Y69" s="4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L69" s="5"/>
      <c r="AM69" s="5" t="str">
        <f t="shared" si="4"/>
        <v>Outros Operacionais (PNC)|Passivo|Não Circulante</v>
      </c>
      <c r="AN69" s="5"/>
      <c r="AO69" s="5"/>
      <c r="AP69" s="5"/>
      <c r="AQ69" s="6"/>
      <c r="AR69" s="7"/>
      <c r="AS69" s="7"/>
      <c r="AT69" s="7"/>
    </row>
    <row r="70" spans="1:46" ht="35.1" customHeight="1" x14ac:dyDescent="0.25">
      <c r="A70" s="117" t="s">
        <v>115</v>
      </c>
      <c r="B70" s="131">
        <f>IFERROR(SUMIFS(INDEX(rastreabilidade!$F:$H,0,MATCH($B$2,rastreabilidade!$F$1:$H$1,0)),rastreabilidade!$K:$K,$A70,rastreabilidade!$D:$D,"Sim"),0)</f>
        <v>0</v>
      </c>
      <c r="C70" s="35"/>
      <c r="D70" s="4"/>
      <c r="E70" s="131">
        <f>IFERROR(SUMIFS(INDEX(rastreabilidade!$F:$H,0,MATCH(E$3,rastreabilidade!$F$1:$H$1,0)),rastreabilidade!$N:$N,$AM70),0)
+IF($N70="",0,IFERROR(SUMIFS(INDEX(rastreabilidade!$F:$H,0,MATCH(E$3,rastreabilidade!$F$1:$H$1,0)),rastreabilidade!$M:$M,$N70),0))
+IF($O70="",0,IFERROR(SUMIFS(INDEX(rastreabilidade!$F:$H,0,MATCH(E$3,rastreabilidade!$F$1:$H$1,0)),rastreabilidade!$M:$M,$O70),0))
+IF($P70="",0,IFERROR(SUMIFS(INDEX(rastreabilidade!$F:$H,0,MATCH(E$3,rastreabilidade!$F$1:$H$1,0)),rastreabilidade!$M:$M,$P70),0))
+IF($Q70="",0,IFERROR(SUMIFS(INDEX(rastreabilidade!$F:$H,0,MATCH(E$3,rastreabilidade!$F$1:$H$1,0)),rastreabilidade!$M:$M,$Q70),0))
-IF($J70="",0,IFERROR(SUMIFS(INDEX(rastreabilidade!$F:$H,0,MATCH(E$3,rastreabilidade!$F$1:$H$1,0)),rastreabilidade!$M:$M,$J70,rastreabilidade!$N:$N,$AM70),0))
-IF($K70="",0,IFERROR(SUMIFS(INDEX(rastreabilidade!$F:$H,0,MATCH(E$3,rastreabilidade!$F$1:$H$1,0)),rastreabilidade!$M:$M,$K70,rastreabilidade!$N:$N,$AM70),0))
-IF($L70="",0,IFERROR(SUMIFS(INDEX(rastreabilidade!$F:$H,0,MATCH(E$3,rastreabilidade!$F$1:$H$1,0)),rastreabilidade!$M:$M,$L70,rastreabilidade!$N:$N,$AM70),0))
-IF($M70="",0,IFERROR(SUMIFS(INDEX(rastreabilidade!$F:$H,0,MATCH(E$3,rastreabilidade!$F$1:$H$1,0)),rastreabilidade!$M:$M,$M70,rastreabilidade!$N:$N,$AM70),0))</f>
        <v>0</v>
      </c>
      <c r="F70" s="131">
        <f>IFERROR(SUMIFS(INDEX(rastreabilidade!$F:$H,0,MATCH(F$3,rastreabilidade!$F$1:$H$1,0)),rastreabilidade!$N:$N,$AM70),0)
+IF($N70="",0,IFERROR(SUMIFS(INDEX(rastreabilidade!$F:$H,0,MATCH(F$3,rastreabilidade!$F$1:$H$1,0)),rastreabilidade!$M:$M,$N70),0))
+IF($O70="",0,IFERROR(SUMIFS(INDEX(rastreabilidade!$F:$H,0,MATCH(F$3,rastreabilidade!$F$1:$H$1,0)),rastreabilidade!$M:$M,$O70),0))
+IF($P70="",0,IFERROR(SUMIFS(INDEX(rastreabilidade!$F:$H,0,MATCH(F$3,rastreabilidade!$F$1:$H$1,0)),rastreabilidade!$M:$M,$P70),0))
+IF($Q70="",0,IFERROR(SUMIFS(INDEX(rastreabilidade!$F:$H,0,MATCH(F$3,rastreabilidade!$F$1:$H$1,0)),rastreabilidade!$M:$M,$Q70),0))
-IF($J70="",0,IFERROR(SUMIFS(INDEX(rastreabilidade!$F:$H,0,MATCH(F$3,rastreabilidade!$F$1:$H$1,0)),rastreabilidade!$M:$M,$J70,rastreabilidade!$N:$N,$AM70),0))
-IF($K70="",0,IFERROR(SUMIFS(INDEX(rastreabilidade!$F:$H,0,MATCH(F$3,rastreabilidade!$F$1:$H$1,0)),rastreabilidade!$M:$M,$K70,rastreabilidade!$N:$N,$AM70),0))
-IF($L70="",0,IFERROR(SUMIFS(INDEX(rastreabilidade!$F:$H,0,MATCH(F$3,rastreabilidade!$F$1:$H$1,0)),rastreabilidade!$M:$M,$L70,rastreabilidade!$N:$N,$AM70),0))
-IF($M70="",0,IFERROR(SUMIFS(INDEX(rastreabilidade!$F:$H,0,MATCH(F$3,rastreabilidade!$F$1:$H$1,0)),rastreabilidade!$M:$M,$M70,rastreabilidade!$N:$N,$AM70),0))</f>
        <v>0</v>
      </c>
      <c r="G70" s="132">
        <f>IFERROR(SUMIFS(INDEX(rastreabilidade!$F:$H,0,MATCH(G$3,rastreabilidade!$F$1:$H$1,0)),rastreabilidade!$N:$N,$AM70),0)
+IF($N70="",0,IFERROR(SUMIFS(INDEX(rastreabilidade!$F:$H,0,MATCH(G$3,rastreabilidade!$F$1:$H$1,0)),rastreabilidade!$M:$M,$N70),0))
+IF($O70="",0,IFERROR(SUMIFS(INDEX(rastreabilidade!$F:$H,0,MATCH(G$3,rastreabilidade!$F$1:$H$1,0)),rastreabilidade!$M:$M,$O70),0))
+IF($P70="",0,IFERROR(SUMIFS(INDEX(rastreabilidade!$F:$H,0,MATCH(G$3,rastreabilidade!$F$1:$H$1,0)),rastreabilidade!$M:$M,$P70),0))
+IF($Q70="",0,IFERROR(SUMIFS(INDEX(rastreabilidade!$F:$H,0,MATCH(G$3,rastreabilidade!$F$1:$H$1,0)),rastreabilidade!$M:$M,$Q70),0))
-IF($J70="",0,IFERROR(SUMIFS(INDEX(rastreabilidade!$F:$H,0,MATCH(G$3,rastreabilidade!$F$1:$H$1,0)),rastreabilidade!$M:$M,$J70,rastreabilidade!$N:$N,$AM70),0))
-IF($K70="",0,IFERROR(SUMIFS(INDEX(rastreabilidade!$F:$H,0,MATCH(G$3,rastreabilidade!$F$1:$H$1,0)),rastreabilidade!$M:$M,$K70,rastreabilidade!$N:$N,$AM70),0))
-IF($L70="",0,IFERROR(SUMIFS(INDEX(rastreabilidade!$F:$H,0,MATCH(G$3,rastreabilidade!$F$1:$H$1,0)),rastreabilidade!$M:$M,$L70,rastreabilidade!$N:$N,$AM70),0))
-IF($M70="",0,IFERROR(SUMIFS(INDEX(rastreabilidade!$F:$H,0,MATCH(G$3,rastreabilidade!$F$1:$H$1,0)),rastreabilidade!$M:$M,$M70,rastreabilidade!$N:$N,$AM70),0))</f>
        <v>0</v>
      </c>
      <c r="H70" s="36"/>
      <c r="I70" s="155" t="str" cm="1">
        <f t="array" ref="I70">_xlfn.LET(
_xlpm.mem,H70,
_xlpm.retiradas,J70:M70,
_xlpm.adicoes,N70:Q70,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70" s="54"/>
      <c r="K70" s="54"/>
      <c r="L70" s="54"/>
      <c r="M70" s="54"/>
      <c r="N70" s="58"/>
      <c r="O70" s="58"/>
      <c r="P70" s="58"/>
      <c r="Q70" s="58"/>
      <c r="R70" s="4"/>
      <c r="S70" s="4"/>
      <c r="T70" s="4"/>
      <c r="U70" s="45"/>
      <c r="V70" s="4"/>
      <c r="W70" s="4"/>
      <c r="X70" s="4"/>
      <c r="Y70" s="4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L70" s="5"/>
      <c r="AM70" s="5" t="str">
        <f t="shared" si="4"/>
        <v>Outros Não Operacionais (PNC)|Passivo|Não Circulante</v>
      </c>
      <c r="AN70" s="5"/>
      <c r="AO70" s="5"/>
      <c r="AP70" s="5"/>
      <c r="AQ70" s="6"/>
      <c r="AR70" s="7"/>
      <c r="AS70" s="7"/>
      <c r="AT70" s="7"/>
    </row>
    <row r="71" spans="1:46" ht="35.1" customHeight="1" x14ac:dyDescent="0.25">
      <c r="A71" s="82" t="s">
        <v>116</v>
      </c>
      <c r="B71" s="129">
        <f>SUM(B62:B70)</f>
        <v>0</v>
      </c>
      <c r="C71" s="55"/>
      <c r="D71" s="4"/>
      <c r="E71" s="129">
        <f>SUM(E62:E70)</f>
        <v>0</v>
      </c>
      <c r="F71" s="129">
        <f>SUM(F62:F70)</f>
        <v>0</v>
      </c>
      <c r="G71" s="130">
        <f>SUM(G62:G70)</f>
        <v>0</v>
      </c>
      <c r="H71" s="60"/>
      <c r="I71" s="151"/>
      <c r="J71" s="55"/>
      <c r="K71" s="55"/>
      <c r="L71" s="55"/>
      <c r="M71" s="55"/>
      <c r="N71" s="55"/>
      <c r="O71" s="55"/>
      <c r="P71" s="55"/>
      <c r="Q71" s="55"/>
      <c r="R71" s="4"/>
      <c r="S71" s="4"/>
      <c r="T71" s="4"/>
      <c r="U71" s="45"/>
      <c r="V71" s="4"/>
      <c r="W71" s="4"/>
      <c r="X71" s="4"/>
      <c r="Y71" s="4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L71" s="5"/>
      <c r="AM71" s="5" t="str">
        <f t="shared" si="4"/>
        <v>TOTAL PASSIVO NÃO CIRCULANTE|Passivo|Não Circulante</v>
      </c>
      <c r="AN71" s="5"/>
      <c r="AO71" s="5"/>
      <c r="AP71" s="5"/>
      <c r="AQ71" s="6"/>
      <c r="AR71" s="7"/>
      <c r="AS71" s="7"/>
      <c r="AT71" s="7"/>
    </row>
    <row r="72" spans="1:46" ht="35.1" customHeight="1" x14ac:dyDescent="0.25">
      <c r="A72" s="84" t="s">
        <v>117</v>
      </c>
      <c r="B72" s="133">
        <f>B71+B61</f>
        <v>0</v>
      </c>
      <c r="C72" s="35"/>
      <c r="D72" s="4"/>
      <c r="E72" s="133">
        <f>E71+E61</f>
        <v>0</v>
      </c>
      <c r="F72" s="133">
        <f>F71+F61</f>
        <v>0</v>
      </c>
      <c r="G72" s="134">
        <f>G71+G61</f>
        <v>0</v>
      </c>
      <c r="H72" s="60"/>
      <c r="I72" s="134"/>
      <c r="J72" s="134"/>
      <c r="K72" s="134"/>
      <c r="L72" s="134"/>
      <c r="M72" s="134"/>
      <c r="N72" s="134"/>
      <c r="O72" s="134"/>
      <c r="P72" s="134"/>
      <c r="Q72" s="134"/>
      <c r="R72" s="4"/>
      <c r="S72" s="4"/>
      <c r="T72" s="4"/>
      <c r="U72" s="45"/>
      <c r="V72" s="4"/>
      <c r="W72" s="4"/>
      <c r="X72" s="4"/>
      <c r="Y72" s="4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L72" s="5"/>
      <c r="AM72" s="5" t="str">
        <f t="shared" si="4"/>
        <v>TOTAL PASSIVO|Passivo|Não Circulante</v>
      </c>
      <c r="AN72" s="5"/>
      <c r="AO72" s="5"/>
      <c r="AP72" s="5"/>
      <c r="AQ72" s="6"/>
      <c r="AR72" s="7"/>
      <c r="AS72" s="7"/>
      <c r="AT72" s="7"/>
    </row>
    <row r="73" spans="1:46" ht="9.9499999999999993" customHeight="1" x14ac:dyDescent="0.25">
      <c r="A73" s="85"/>
      <c r="B73" s="143"/>
      <c r="C73" s="4"/>
      <c r="D73" s="4"/>
      <c r="E73" s="143"/>
      <c r="F73" s="143"/>
      <c r="G73" s="143"/>
      <c r="H73" s="4"/>
      <c r="I73" s="152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5"/>
      <c r="V73" s="4"/>
      <c r="W73" s="4"/>
      <c r="X73" s="4"/>
      <c r="Y73" s="4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L73" s="5"/>
      <c r="AM73" s="5"/>
      <c r="AN73" s="5"/>
      <c r="AO73" s="5"/>
      <c r="AP73" s="5"/>
      <c r="AQ73" s="6"/>
      <c r="AR73" s="7"/>
      <c r="AS73" s="7"/>
      <c r="AT73" s="7"/>
    </row>
    <row r="74" spans="1:46" ht="9.9499999999999993" customHeight="1" x14ac:dyDescent="0.25">
      <c r="A74" s="85"/>
      <c r="B74" s="143"/>
      <c r="C74" s="4"/>
      <c r="D74" s="4"/>
      <c r="E74" s="143"/>
      <c r="F74" s="143"/>
      <c r="G74" s="143"/>
      <c r="H74" s="4"/>
      <c r="I74" s="152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5"/>
      <c r="V74" s="4"/>
      <c r="W74" s="4"/>
      <c r="X74" s="4"/>
      <c r="Y74" s="4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L74" s="5"/>
      <c r="AM74" s="5"/>
      <c r="AN74" s="5"/>
      <c r="AO74" s="5"/>
      <c r="AP74" s="5"/>
      <c r="AQ74" s="6"/>
      <c r="AR74" s="7"/>
      <c r="AS74" s="7"/>
      <c r="AT74" s="7"/>
    </row>
    <row r="75" spans="1:46" ht="35.1" customHeight="1" x14ac:dyDescent="0.25">
      <c r="A75" s="92" t="s">
        <v>118</v>
      </c>
      <c r="B75" s="144">
        <f>IFERROR(SUMIFS(INDEX(rastreabilidade!$F:$H,0,MATCH($B$2,rastreabilidade!$F$1:$H$1,0)),rastreabilidade!$K:$K,$A75,rastreabilidade!$D:$D,"Sim"),0)</f>
        <v>0</v>
      </c>
      <c r="C75" s="35"/>
      <c r="D75" s="4"/>
      <c r="E75" s="144">
        <f>IFERROR(SUMIFS(INDEX(rastreabilidade!$F:$H,0,MATCH(E$3,rastreabilidade!$F$1:$H$1,0)),rastreabilidade!$N:$N,$AM75),0)
+IF($N75="",0,IFERROR(SUMIFS(INDEX(rastreabilidade!$F:$H,0,MATCH(E$3,rastreabilidade!$F$1:$H$1,0)),rastreabilidade!$M:$M,$N75),0))
+IF($O75="",0,IFERROR(SUMIFS(INDEX(rastreabilidade!$F:$H,0,MATCH(E$3,rastreabilidade!$F$1:$H$1,0)),rastreabilidade!$M:$M,$O75),0))
+IF($P75="",0,IFERROR(SUMIFS(INDEX(rastreabilidade!$F:$H,0,MATCH(E$3,rastreabilidade!$F$1:$H$1,0)),rastreabilidade!$M:$M,$P75),0))
+IF($Q75="",0,IFERROR(SUMIFS(INDEX(rastreabilidade!$F:$H,0,MATCH(E$3,rastreabilidade!$F$1:$H$1,0)),rastreabilidade!$M:$M,$Q75),0))
-IF($J75="",0,IFERROR(SUMIFS(INDEX(rastreabilidade!$F:$H,0,MATCH(E$3,rastreabilidade!$F$1:$H$1,0)),rastreabilidade!$M:$M,$J75,rastreabilidade!$N:$N,$AM75),0))
-IF($K75="",0,IFERROR(SUMIFS(INDEX(rastreabilidade!$F:$H,0,MATCH(E$3,rastreabilidade!$F$1:$H$1,0)),rastreabilidade!$M:$M,$K75,rastreabilidade!$N:$N,$AM75),0))
-IF($L75="",0,IFERROR(SUMIFS(INDEX(rastreabilidade!$F:$H,0,MATCH(E$3,rastreabilidade!$F$1:$H$1,0)),rastreabilidade!$M:$M,$L75,rastreabilidade!$N:$N,$AM75),0))
-IF($M75="",0,IFERROR(SUMIFS(INDEX(rastreabilidade!$F:$H,0,MATCH(E$3,rastreabilidade!$F$1:$H$1,0)),rastreabilidade!$M:$M,$M75,rastreabilidade!$N:$N,$AM75),0))</f>
        <v>0</v>
      </c>
      <c r="F75" s="144">
        <f>IFERROR(SUMIFS(INDEX(rastreabilidade!$F:$H,0,MATCH(F$3,rastreabilidade!$F$1:$H$1,0)),rastreabilidade!$N:$N,$AM75),0)
+IF($N75="",0,IFERROR(SUMIFS(INDEX(rastreabilidade!$F:$H,0,MATCH(F$3,rastreabilidade!$F$1:$H$1,0)),rastreabilidade!$M:$M,$N75),0))
+IF($O75="",0,IFERROR(SUMIFS(INDEX(rastreabilidade!$F:$H,0,MATCH(F$3,rastreabilidade!$F$1:$H$1,0)),rastreabilidade!$M:$M,$O75),0))
+IF($P75="",0,IFERROR(SUMIFS(INDEX(rastreabilidade!$F:$H,0,MATCH(F$3,rastreabilidade!$F$1:$H$1,0)),rastreabilidade!$M:$M,$P75),0))
+IF($Q75="",0,IFERROR(SUMIFS(INDEX(rastreabilidade!$F:$H,0,MATCH(F$3,rastreabilidade!$F$1:$H$1,0)),rastreabilidade!$M:$M,$Q75),0))
-IF($J75="",0,IFERROR(SUMIFS(INDEX(rastreabilidade!$F:$H,0,MATCH(F$3,rastreabilidade!$F$1:$H$1,0)),rastreabilidade!$M:$M,$J75,rastreabilidade!$N:$N,$AM75),0))
-IF($K75="",0,IFERROR(SUMIFS(INDEX(rastreabilidade!$F:$H,0,MATCH(F$3,rastreabilidade!$F$1:$H$1,0)),rastreabilidade!$M:$M,$K75,rastreabilidade!$N:$N,$AM75),0))
-IF($L75="",0,IFERROR(SUMIFS(INDEX(rastreabilidade!$F:$H,0,MATCH(F$3,rastreabilidade!$F$1:$H$1,0)),rastreabilidade!$M:$M,$L75,rastreabilidade!$N:$N,$AM75),0))
-IF($M75="",0,IFERROR(SUMIFS(INDEX(rastreabilidade!$F:$H,0,MATCH(F$3,rastreabilidade!$F$1:$H$1,0)),rastreabilidade!$M:$M,$M75,rastreabilidade!$N:$N,$AM75),0))</f>
        <v>0</v>
      </c>
      <c r="G75" s="145">
        <f>IFERROR(SUMIFS(INDEX(rastreabilidade!$F:$H,0,MATCH(G$3,rastreabilidade!$F$1:$H$1,0)),rastreabilidade!$N:$N,$AM75),0)
+IF($N75="",0,IFERROR(SUMIFS(INDEX(rastreabilidade!$F:$H,0,MATCH(G$3,rastreabilidade!$F$1:$H$1,0)),rastreabilidade!$M:$M,$N75),0))
+IF($O75="",0,IFERROR(SUMIFS(INDEX(rastreabilidade!$F:$H,0,MATCH(G$3,rastreabilidade!$F$1:$H$1,0)),rastreabilidade!$M:$M,$O75),0))
+IF($P75="",0,IFERROR(SUMIFS(INDEX(rastreabilidade!$F:$H,0,MATCH(G$3,rastreabilidade!$F$1:$H$1,0)),rastreabilidade!$M:$M,$P75),0))
+IF($Q75="",0,IFERROR(SUMIFS(INDEX(rastreabilidade!$F:$H,0,MATCH(G$3,rastreabilidade!$F$1:$H$1,0)),rastreabilidade!$M:$M,$Q75),0))
-IF($J75="",0,IFERROR(SUMIFS(INDEX(rastreabilidade!$F:$H,0,MATCH(G$3,rastreabilidade!$F$1:$H$1,0)),rastreabilidade!$M:$M,$J75,rastreabilidade!$N:$N,$AM75),0))
-IF($K75="",0,IFERROR(SUMIFS(INDEX(rastreabilidade!$F:$H,0,MATCH(G$3,rastreabilidade!$F$1:$H$1,0)),rastreabilidade!$M:$M,$K75,rastreabilidade!$N:$N,$AM75),0))
-IF($L75="",0,IFERROR(SUMIFS(INDEX(rastreabilidade!$F:$H,0,MATCH(G$3,rastreabilidade!$F$1:$H$1,0)),rastreabilidade!$M:$M,$L75,rastreabilidade!$N:$N,$AM75),0))
-IF($M75="",0,IFERROR(SUMIFS(INDEX(rastreabilidade!$F:$H,0,MATCH(G$3,rastreabilidade!$F$1:$H$1,0)),rastreabilidade!$M:$M,$M75,rastreabilidade!$N:$N,$AM75),0))</f>
        <v>0</v>
      </c>
      <c r="H75" s="60"/>
      <c r="I75" s="155" t="str" cm="1">
        <f t="array" ref="I75">_xlfn.LET(
_xlpm.mem,H75,
_xlpm.retiradas,J75:M75,
_xlpm.adicoes,N75:Q75,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75" s="54"/>
      <c r="K75" s="54"/>
      <c r="L75" s="54"/>
      <c r="M75" s="54"/>
      <c r="N75" s="58"/>
      <c r="O75" s="58"/>
      <c r="P75" s="58"/>
      <c r="Q75" s="58"/>
      <c r="R75" s="4"/>
      <c r="S75" s="4"/>
      <c r="T75" s="4"/>
      <c r="U75" s="45"/>
      <c r="V75" s="4"/>
      <c r="W75" s="4"/>
      <c r="X75" s="4"/>
      <c r="Y75" s="4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L75" s="5"/>
      <c r="AM75" s="5" t="s">
        <v>119</v>
      </c>
      <c r="AN75" s="5"/>
      <c r="AO75" s="5"/>
      <c r="AP75" s="5"/>
      <c r="AQ75" s="6"/>
      <c r="AR75" s="7"/>
      <c r="AS75" s="7"/>
      <c r="AT75" s="7"/>
    </row>
    <row r="76" spans="1:46" ht="35.1" customHeight="1" x14ac:dyDescent="0.25">
      <c r="A76" s="77" t="s">
        <v>120</v>
      </c>
      <c r="B76" s="137">
        <f>IFERROR(SUMIFS(INDEX(rastreabilidade!$F:$H,0,MATCH($B$2,rastreabilidade!$F$1:$H$1,0)),rastreabilidade!$K:$K,$A76,rastreabilidade!$D:$D,"Sim"),0)</f>
        <v>0</v>
      </c>
      <c r="C76" s="35"/>
      <c r="D76" s="4"/>
      <c r="E76" s="137">
        <f>IFERROR(SUMIFS(INDEX(rastreabilidade!$F:$H,0,MATCH(E$3,rastreabilidade!$F$1:$H$1,0)),rastreabilidade!$N:$N,$AM76),0)
+IF($N76="",0,IFERROR(SUMIFS(INDEX(rastreabilidade!$F:$H,0,MATCH(E$3,rastreabilidade!$F$1:$H$1,0)),rastreabilidade!$M:$M,$N76),0))
+IF($O76="",0,IFERROR(SUMIFS(INDEX(rastreabilidade!$F:$H,0,MATCH(E$3,rastreabilidade!$F$1:$H$1,0)),rastreabilidade!$M:$M,$O76),0))
+IF($P76="",0,IFERROR(SUMIFS(INDEX(rastreabilidade!$F:$H,0,MATCH(E$3,rastreabilidade!$F$1:$H$1,0)),rastreabilidade!$M:$M,$P76),0))
+IF($Q76="",0,IFERROR(SUMIFS(INDEX(rastreabilidade!$F:$H,0,MATCH(E$3,rastreabilidade!$F$1:$H$1,0)),rastreabilidade!$M:$M,$Q76),0))
-IF($J76="",0,IFERROR(SUMIFS(INDEX(rastreabilidade!$F:$H,0,MATCH(E$3,rastreabilidade!$F$1:$H$1,0)),rastreabilidade!$M:$M,$J76,rastreabilidade!$N:$N,$AM76),0))
-IF($K76="",0,IFERROR(SUMIFS(INDEX(rastreabilidade!$F:$H,0,MATCH(E$3,rastreabilidade!$F$1:$H$1,0)),rastreabilidade!$M:$M,$K76,rastreabilidade!$N:$N,$AM76),0))
-IF($L76="",0,IFERROR(SUMIFS(INDEX(rastreabilidade!$F:$H,0,MATCH(E$3,rastreabilidade!$F$1:$H$1,0)),rastreabilidade!$M:$M,$L76,rastreabilidade!$N:$N,$AM76),0))
-IF($M76="",0,IFERROR(SUMIFS(INDEX(rastreabilidade!$F:$H,0,MATCH(E$3,rastreabilidade!$F$1:$H$1,0)),rastreabilidade!$M:$M,$M76,rastreabilidade!$N:$N,$AM76),0))</f>
        <v>0</v>
      </c>
      <c r="F76" s="137">
        <f>IFERROR(SUMIFS(INDEX(rastreabilidade!$F:$H,0,MATCH(F$3,rastreabilidade!$F$1:$H$1,0)),rastreabilidade!$N:$N,$AM76),0)
+IF($N76="",0,IFERROR(SUMIFS(INDEX(rastreabilidade!$F:$H,0,MATCH(F$3,rastreabilidade!$F$1:$H$1,0)),rastreabilidade!$M:$M,$N76),0))
+IF($O76="",0,IFERROR(SUMIFS(INDEX(rastreabilidade!$F:$H,0,MATCH(F$3,rastreabilidade!$F$1:$H$1,0)),rastreabilidade!$M:$M,$O76),0))
+IF($P76="",0,IFERROR(SUMIFS(INDEX(rastreabilidade!$F:$H,0,MATCH(F$3,rastreabilidade!$F$1:$H$1,0)),rastreabilidade!$M:$M,$P76),0))
+IF($Q76="",0,IFERROR(SUMIFS(INDEX(rastreabilidade!$F:$H,0,MATCH(F$3,rastreabilidade!$F$1:$H$1,0)),rastreabilidade!$M:$M,$Q76),0))
-IF($J76="",0,IFERROR(SUMIFS(INDEX(rastreabilidade!$F:$H,0,MATCH(F$3,rastreabilidade!$F$1:$H$1,0)),rastreabilidade!$M:$M,$J76,rastreabilidade!$N:$N,$AM76),0))
-IF($K76="",0,IFERROR(SUMIFS(INDEX(rastreabilidade!$F:$H,0,MATCH(F$3,rastreabilidade!$F$1:$H$1,0)),rastreabilidade!$M:$M,$K76,rastreabilidade!$N:$N,$AM76),0))
-IF($L76="",0,IFERROR(SUMIFS(INDEX(rastreabilidade!$F:$H,0,MATCH(F$3,rastreabilidade!$F$1:$H$1,0)),rastreabilidade!$M:$M,$L76,rastreabilidade!$N:$N,$AM76),0))
-IF($M76="",0,IFERROR(SUMIFS(INDEX(rastreabilidade!$F:$H,0,MATCH(F$3,rastreabilidade!$F$1:$H$1,0)),rastreabilidade!$M:$M,$M76,rastreabilidade!$N:$N,$AM76),0))</f>
        <v>0</v>
      </c>
      <c r="G76" s="138">
        <f>IFERROR(SUMIFS(INDEX(rastreabilidade!$F:$H,0,MATCH(G$3,rastreabilidade!$F$1:$H$1,0)),rastreabilidade!$N:$N,$AM76),0)
+IF($N76="",0,IFERROR(SUMIFS(INDEX(rastreabilidade!$F:$H,0,MATCH(G$3,rastreabilidade!$F$1:$H$1,0)),rastreabilidade!$M:$M,$N76),0))
+IF($O76="",0,IFERROR(SUMIFS(INDEX(rastreabilidade!$F:$H,0,MATCH(G$3,rastreabilidade!$F$1:$H$1,0)),rastreabilidade!$M:$M,$O76),0))
+IF($P76="",0,IFERROR(SUMIFS(INDEX(rastreabilidade!$F:$H,0,MATCH(G$3,rastreabilidade!$F$1:$H$1,0)),rastreabilidade!$M:$M,$P76),0))
+IF($Q76="",0,IFERROR(SUMIFS(INDEX(rastreabilidade!$F:$H,0,MATCH(G$3,rastreabilidade!$F$1:$H$1,0)),rastreabilidade!$M:$M,$Q76),0))
-IF($J76="",0,IFERROR(SUMIFS(INDEX(rastreabilidade!$F:$H,0,MATCH(G$3,rastreabilidade!$F$1:$H$1,0)),rastreabilidade!$M:$M,$J76,rastreabilidade!$N:$N,$AM76),0))
-IF($K76="",0,IFERROR(SUMIFS(INDEX(rastreabilidade!$F:$H,0,MATCH(G$3,rastreabilidade!$F$1:$H$1,0)),rastreabilidade!$M:$M,$K76,rastreabilidade!$N:$N,$AM76),0))
-IF($L76="",0,IFERROR(SUMIFS(INDEX(rastreabilidade!$F:$H,0,MATCH(G$3,rastreabilidade!$F$1:$H$1,0)),rastreabilidade!$M:$M,$L76,rastreabilidade!$N:$N,$AM76),0))
-IF($M76="",0,IFERROR(SUMIFS(INDEX(rastreabilidade!$F:$H,0,MATCH(G$3,rastreabilidade!$F$1:$H$1,0)),rastreabilidade!$M:$M,$M76,rastreabilidade!$N:$N,$AM76),0))</f>
        <v>0</v>
      </c>
      <c r="H76" s="36"/>
      <c r="I76" s="155" t="str" cm="1">
        <f t="array" ref="I76">_xlfn.LET(
_xlpm.mem,H76,
_xlpm.retiradas,J76:M76,
_xlpm.adicoes,N76:Q76,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76" s="54"/>
      <c r="K76" s="54"/>
      <c r="L76" s="54"/>
      <c r="M76" s="54"/>
      <c r="N76" s="58"/>
      <c r="O76" s="58"/>
      <c r="P76" s="58"/>
      <c r="Q76" s="58"/>
      <c r="R76" s="4"/>
      <c r="S76" s="4"/>
      <c r="T76" s="4"/>
      <c r="U76" s="45"/>
      <c r="V76" s="4"/>
      <c r="W76" s="4"/>
      <c r="X76" s="4"/>
      <c r="Y76" s="4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L76" s="5"/>
      <c r="AM76" s="5" t="s">
        <v>121</v>
      </c>
      <c r="AN76" s="5"/>
      <c r="AO76" s="5"/>
      <c r="AP76" s="5"/>
      <c r="AQ76" s="6"/>
      <c r="AR76" s="7"/>
      <c r="AS76" s="7"/>
      <c r="AT76" s="7"/>
    </row>
    <row r="77" spans="1:46" ht="35.1" customHeight="1" x14ac:dyDescent="0.25">
      <c r="A77" s="78" t="s">
        <v>122</v>
      </c>
      <c r="B77" s="146">
        <f>IFERROR(SUMIFS(INDEX(rastreabilidade!$F:$H,0,MATCH($B$2,rastreabilidade!$F$1:$H$1,0)),rastreabilidade!$K:$K,$A77,rastreabilidade!$D:$D,"Sim"),0)</f>
        <v>0</v>
      </c>
      <c r="C77" s="35"/>
      <c r="D77" s="4"/>
      <c r="E77" s="146">
        <f>IFERROR(SUMIFS(INDEX(rastreabilidade!$F:$H,0,MATCH(E$3,rastreabilidade!$F$1:$H$1,0)),rastreabilidade!$N:$N,$AM77),0)
+IF($N77="",0,IFERROR(SUMIFS(INDEX(rastreabilidade!$F:$H,0,MATCH(E$3,rastreabilidade!$F$1:$H$1,0)),rastreabilidade!$M:$M,$N77),0))
+IF($O77="",0,IFERROR(SUMIFS(INDEX(rastreabilidade!$F:$H,0,MATCH(E$3,rastreabilidade!$F$1:$H$1,0)),rastreabilidade!$M:$M,$O77),0))
+IF($P77="",0,IFERROR(SUMIFS(INDEX(rastreabilidade!$F:$H,0,MATCH(E$3,rastreabilidade!$F$1:$H$1,0)),rastreabilidade!$M:$M,$P77),0))
+IF($Q77="",0,IFERROR(SUMIFS(INDEX(rastreabilidade!$F:$H,0,MATCH(E$3,rastreabilidade!$F$1:$H$1,0)),rastreabilidade!$M:$M,$Q77),0))
-IF($J77="",0,IFERROR(SUMIFS(INDEX(rastreabilidade!$F:$H,0,MATCH(E$3,rastreabilidade!$F$1:$H$1,0)),rastreabilidade!$M:$M,$J77,rastreabilidade!$N:$N,$AM77),0))
-IF($K77="",0,IFERROR(SUMIFS(INDEX(rastreabilidade!$F:$H,0,MATCH(E$3,rastreabilidade!$F$1:$H$1,0)),rastreabilidade!$M:$M,$K77,rastreabilidade!$N:$N,$AM77),0))
-IF($L77="",0,IFERROR(SUMIFS(INDEX(rastreabilidade!$F:$H,0,MATCH(E$3,rastreabilidade!$F$1:$H$1,0)),rastreabilidade!$M:$M,$L77,rastreabilidade!$N:$N,$AM77),0))
-IF($M77="",0,IFERROR(SUMIFS(INDEX(rastreabilidade!$F:$H,0,MATCH(E$3,rastreabilidade!$F$1:$H$1,0)),rastreabilidade!$M:$M,$M77,rastreabilidade!$N:$N,$AM77),0))</f>
        <v>0</v>
      </c>
      <c r="F77" s="146">
        <f>IFERROR(SUMIFS(INDEX(rastreabilidade!$F:$H,0,MATCH(F$3,rastreabilidade!$F$1:$H$1,0)),rastreabilidade!$N:$N,$AM77),0)
+IF($N77="",0,IFERROR(SUMIFS(INDEX(rastreabilidade!$F:$H,0,MATCH(F$3,rastreabilidade!$F$1:$H$1,0)),rastreabilidade!$M:$M,$N77),0))
+IF($O77="",0,IFERROR(SUMIFS(INDEX(rastreabilidade!$F:$H,0,MATCH(F$3,rastreabilidade!$F$1:$H$1,0)),rastreabilidade!$M:$M,$O77),0))
+IF($P77="",0,IFERROR(SUMIFS(INDEX(rastreabilidade!$F:$H,0,MATCH(F$3,rastreabilidade!$F$1:$H$1,0)),rastreabilidade!$M:$M,$P77),0))
+IF($Q77="",0,IFERROR(SUMIFS(INDEX(rastreabilidade!$F:$H,0,MATCH(F$3,rastreabilidade!$F$1:$H$1,0)),rastreabilidade!$M:$M,$Q77),0))
-IF($J77="",0,IFERROR(SUMIFS(INDEX(rastreabilidade!$F:$H,0,MATCH(F$3,rastreabilidade!$F$1:$H$1,0)),rastreabilidade!$M:$M,$J77,rastreabilidade!$N:$N,$AM77),0))
-IF($K77="",0,IFERROR(SUMIFS(INDEX(rastreabilidade!$F:$H,0,MATCH(F$3,rastreabilidade!$F$1:$H$1,0)),rastreabilidade!$M:$M,$K77,rastreabilidade!$N:$N,$AM77),0))
-IF($L77="",0,IFERROR(SUMIFS(INDEX(rastreabilidade!$F:$H,0,MATCH(F$3,rastreabilidade!$F$1:$H$1,0)),rastreabilidade!$M:$M,$L77,rastreabilidade!$N:$N,$AM77),0))
-IF($M77="",0,IFERROR(SUMIFS(INDEX(rastreabilidade!$F:$H,0,MATCH(F$3,rastreabilidade!$F$1:$H$1,0)),rastreabilidade!$M:$M,$M77,rastreabilidade!$N:$N,$AM77),0))</f>
        <v>0</v>
      </c>
      <c r="G77" s="147">
        <f>IFERROR(SUMIFS(INDEX(rastreabilidade!$F:$H,0,MATCH(G$3,rastreabilidade!$F$1:$H$1,0)),rastreabilidade!$N:$N,$AM77),0)
+IF($N77="",0,IFERROR(SUMIFS(INDEX(rastreabilidade!$F:$H,0,MATCH(G$3,rastreabilidade!$F$1:$H$1,0)),rastreabilidade!$M:$M,$N77),0))
+IF($O77="",0,IFERROR(SUMIFS(INDEX(rastreabilidade!$F:$H,0,MATCH(G$3,rastreabilidade!$F$1:$H$1,0)),rastreabilidade!$M:$M,$O77),0))
+IF($P77="",0,IFERROR(SUMIFS(INDEX(rastreabilidade!$F:$H,0,MATCH(G$3,rastreabilidade!$F$1:$H$1,0)),rastreabilidade!$M:$M,$P77),0))
+IF($Q77="",0,IFERROR(SUMIFS(INDEX(rastreabilidade!$F:$H,0,MATCH(G$3,rastreabilidade!$F$1:$H$1,0)),rastreabilidade!$M:$M,$Q77),0))
-IF($J77="",0,IFERROR(SUMIFS(INDEX(rastreabilidade!$F:$H,0,MATCH(G$3,rastreabilidade!$F$1:$H$1,0)),rastreabilidade!$M:$M,$J77,rastreabilidade!$N:$N,$AM77),0))
-IF($K77="",0,IFERROR(SUMIFS(INDEX(rastreabilidade!$F:$H,0,MATCH(G$3,rastreabilidade!$F$1:$H$1,0)),rastreabilidade!$M:$M,$K77,rastreabilidade!$N:$N,$AM77),0))
-IF($L77="",0,IFERROR(SUMIFS(INDEX(rastreabilidade!$F:$H,0,MATCH(G$3,rastreabilidade!$F$1:$H$1,0)),rastreabilidade!$M:$M,$L77,rastreabilidade!$N:$N,$AM77),0))
-IF($M77="",0,IFERROR(SUMIFS(INDEX(rastreabilidade!$F:$H,0,MATCH(G$3,rastreabilidade!$F$1:$H$1,0)),rastreabilidade!$M:$M,$M77,rastreabilidade!$N:$N,$AM77),0))</f>
        <v>0</v>
      </c>
      <c r="H77" s="36"/>
      <c r="I77" s="155" t="str" cm="1">
        <f t="array" ref="I77">_xlfn.LET(
_xlpm.mem,H77,
_xlpm.retiradas,J77:M77,
_xlpm.adicoes,N77:Q77,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77" s="54"/>
      <c r="K77" s="54"/>
      <c r="L77" s="54"/>
      <c r="M77" s="54"/>
      <c r="N77" s="58"/>
      <c r="O77" s="58"/>
      <c r="P77" s="58"/>
      <c r="Q77" s="58"/>
      <c r="R77" s="4"/>
      <c r="S77" s="4"/>
      <c r="T77" s="4"/>
      <c r="U77" s="45"/>
      <c r="V77" s="4"/>
      <c r="W77" s="4"/>
      <c r="X77" s="4"/>
      <c r="Y77" s="4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  <c r="AL77" s="5"/>
      <c r="AM77" s="5" t="s">
        <v>123</v>
      </c>
      <c r="AN77" s="5"/>
      <c r="AO77" s="5"/>
      <c r="AP77" s="5"/>
      <c r="AQ77" s="6"/>
      <c r="AR77" s="7"/>
      <c r="AS77" s="7"/>
      <c r="AT77" s="7"/>
    </row>
    <row r="78" spans="1:46" ht="35.1" customHeight="1" x14ac:dyDescent="0.25">
      <c r="A78" s="91" t="s">
        <v>124</v>
      </c>
      <c r="B78" s="127">
        <f>IFERROR(SUMIFS(INDEX(rastreabilidade!$F:$H,0,MATCH($B$2,rastreabilidade!$F$1:$H$1,0)),rastreabilidade!$K:$K,$A78,rastreabilidade!$D:$D,"Sim"),0)</f>
        <v>0</v>
      </c>
      <c r="C78" s="35"/>
      <c r="D78" s="4"/>
      <c r="E78" s="127">
        <f>IFERROR(SUMIFS(INDEX(rastreabilidade!$F:$H,0,MATCH(E$3,rastreabilidade!$F$1:$H$1,0)),rastreabilidade!$N:$N,$AM78),0)
+IF($N78="",0,IFERROR(SUMIFS(INDEX(rastreabilidade!$F:$H,0,MATCH(E$3,rastreabilidade!$F$1:$H$1,0)),rastreabilidade!$M:$M,$N78),0))
+IF($O78="",0,IFERROR(SUMIFS(INDEX(rastreabilidade!$F:$H,0,MATCH(E$3,rastreabilidade!$F$1:$H$1,0)),rastreabilidade!$M:$M,$O78),0))
+IF($P78="",0,IFERROR(SUMIFS(INDEX(rastreabilidade!$F:$H,0,MATCH(E$3,rastreabilidade!$F$1:$H$1,0)),rastreabilidade!$M:$M,$P78),0))
+IF($Q78="",0,IFERROR(SUMIFS(INDEX(rastreabilidade!$F:$H,0,MATCH(E$3,rastreabilidade!$F$1:$H$1,0)),rastreabilidade!$M:$M,$Q78),0))
-IF($J78="",0,IFERROR(SUMIFS(INDEX(rastreabilidade!$F:$H,0,MATCH(E$3,rastreabilidade!$F$1:$H$1,0)),rastreabilidade!$M:$M,$J78,rastreabilidade!$N:$N,$AM78),0))
-IF($K78="",0,IFERROR(SUMIFS(INDEX(rastreabilidade!$F:$H,0,MATCH(E$3,rastreabilidade!$F$1:$H$1,0)),rastreabilidade!$M:$M,$K78,rastreabilidade!$N:$N,$AM78),0))
-IF($L78="",0,IFERROR(SUMIFS(INDEX(rastreabilidade!$F:$H,0,MATCH(E$3,rastreabilidade!$F$1:$H$1,0)),rastreabilidade!$M:$M,$L78,rastreabilidade!$N:$N,$AM78),0))
-IF($M78="",0,IFERROR(SUMIFS(INDEX(rastreabilidade!$F:$H,0,MATCH(E$3,rastreabilidade!$F$1:$H$1,0)),rastreabilidade!$M:$M,$M78,rastreabilidade!$N:$N,$AM78),0))</f>
        <v>0</v>
      </c>
      <c r="F78" s="127">
        <f>IFERROR(SUMIFS(INDEX(rastreabilidade!$F:$H,0,MATCH(F$3,rastreabilidade!$F$1:$H$1,0)),rastreabilidade!$N:$N,$AM78),0)
+IF($N78="",0,IFERROR(SUMIFS(INDEX(rastreabilidade!$F:$H,0,MATCH(F$3,rastreabilidade!$F$1:$H$1,0)),rastreabilidade!$M:$M,$N78),0))
+IF($O78="",0,IFERROR(SUMIFS(INDEX(rastreabilidade!$F:$H,0,MATCH(F$3,rastreabilidade!$F$1:$H$1,0)),rastreabilidade!$M:$M,$O78),0))
+IF($P78="",0,IFERROR(SUMIFS(INDEX(rastreabilidade!$F:$H,0,MATCH(F$3,rastreabilidade!$F$1:$H$1,0)),rastreabilidade!$M:$M,$P78),0))
+IF($Q78="",0,IFERROR(SUMIFS(INDEX(rastreabilidade!$F:$H,0,MATCH(F$3,rastreabilidade!$F$1:$H$1,0)),rastreabilidade!$M:$M,$Q78),0))
-IF($J78="",0,IFERROR(SUMIFS(INDEX(rastreabilidade!$F:$H,0,MATCH(F$3,rastreabilidade!$F$1:$H$1,0)),rastreabilidade!$M:$M,$J78,rastreabilidade!$N:$N,$AM78),0))
-IF($K78="",0,IFERROR(SUMIFS(INDEX(rastreabilidade!$F:$H,0,MATCH(F$3,rastreabilidade!$F$1:$H$1,0)),rastreabilidade!$M:$M,$K78,rastreabilidade!$N:$N,$AM78),0))
-IF($L78="",0,IFERROR(SUMIFS(INDEX(rastreabilidade!$F:$H,0,MATCH(F$3,rastreabilidade!$F$1:$H$1,0)),rastreabilidade!$M:$M,$L78,rastreabilidade!$N:$N,$AM78),0))
-IF($M78="",0,IFERROR(SUMIFS(INDEX(rastreabilidade!$F:$H,0,MATCH(F$3,rastreabilidade!$F$1:$H$1,0)),rastreabilidade!$M:$M,$M78,rastreabilidade!$N:$N,$AM78),0))</f>
        <v>0</v>
      </c>
      <c r="G78" s="127">
        <f>IFERROR(SUMIFS(INDEX(rastreabilidade!$F:$H,0,MATCH(G$3,rastreabilidade!$F$1:$H$1,0)),rastreabilidade!$N:$N,$AM78),0)
+IF($N78="",0,IFERROR(SUMIFS(INDEX(rastreabilidade!$F:$H,0,MATCH(G$3,rastreabilidade!$F$1:$H$1,0)),rastreabilidade!$M:$M,$N78),0))
+IF($O78="",0,IFERROR(SUMIFS(INDEX(rastreabilidade!$F:$H,0,MATCH(G$3,rastreabilidade!$F$1:$H$1,0)),rastreabilidade!$M:$M,$O78),0))
+IF($P78="",0,IFERROR(SUMIFS(INDEX(rastreabilidade!$F:$H,0,MATCH(G$3,rastreabilidade!$F$1:$H$1,0)),rastreabilidade!$M:$M,$P78),0))
+IF($Q78="",0,IFERROR(SUMIFS(INDEX(rastreabilidade!$F:$H,0,MATCH(G$3,rastreabilidade!$F$1:$H$1,0)),rastreabilidade!$M:$M,$Q78),0))
-IF($J78="",0,IFERROR(SUMIFS(INDEX(rastreabilidade!$F:$H,0,MATCH(G$3,rastreabilidade!$F$1:$H$1,0)),rastreabilidade!$M:$M,$J78,rastreabilidade!$N:$N,$AM78),0))
-IF($K78="",0,IFERROR(SUMIFS(INDEX(rastreabilidade!$F:$H,0,MATCH(G$3,rastreabilidade!$F$1:$H$1,0)),rastreabilidade!$M:$M,$K78,rastreabilidade!$N:$N,$AM78),0))
-IF($L78="",0,IFERROR(SUMIFS(INDEX(rastreabilidade!$F:$H,0,MATCH(G$3,rastreabilidade!$F$1:$H$1,0)),rastreabilidade!$M:$M,$L78,rastreabilidade!$N:$N,$AM78),0))
-IF($M78="",0,IFERROR(SUMIFS(INDEX(rastreabilidade!$F:$H,0,MATCH(G$3,rastreabilidade!$F$1:$H$1,0)),rastreabilidade!$M:$M,$M78,rastreabilidade!$N:$N,$AM78),0))</f>
        <v>0</v>
      </c>
      <c r="H78" s="46"/>
      <c r="I78" s="155" t="str" cm="1">
        <f t="array" ref="I78">_xlfn.LET(
_xlpm.mem,H78,
_xlpm.retiradas,J78:M78,
_xlpm.adicoes,N78:Q78,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78" s="54"/>
      <c r="K78" s="54"/>
      <c r="L78" s="54"/>
      <c r="M78" s="54"/>
      <c r="N78" s="58"/>
      <c r="O78" s="58"/>
      <c r="P78" s="58"/>
      <c r="Q78" s="58"/>
      <c r="R78" s="4"/>
      <c r="S78" s="4"/>
      <c r="T78" s="4"/>
      <c r="U78" s="45"/>
      <c r="V78" s="4"/>
      <c r="W78" s="4"/>
      <c r="X78" s="4"/>
      <c r="Y78" s="4"/>
      <c r="Z78" s="45"/>
      <c r="AA78" s="45"/>
      <c r="AB78" s="45"/>
      <c r="AC78" s="45"/>
      <c r="AD78" s="45"/>
      <c r="AE78" s="45"/>
      <c r="AF78" s="45"/>
      <c r="AG78" s="45"/>
      <c r="AH78" s="45"/>
      <c r="AI78" s="45"/>
      <c r="AJ78" s="45"/>
      <c r="AL78" s="5"/>
      <c r="AM78" s="5" t="s">
        <v>125</v>
      </c>
      <c r="AN78" s="5"/>
      <c r="AO78" s="5"/>
      <c r="AP78" s="5"/>
      <c r="AQ78" s="6"/>
      <c r="AR78" s="7"/>
      <c r="AS78" s="7"/>
      <c r="AT78" s="7"/>
    </row>
    <row r="79" spans="1:46" ht="35.1" customHeight="1" x14ac:dyDescent="0.25">
      <c r="A79" s="93" t="s">
        <v>126</v>
      </c>
      <c r="B79" s="129">
        <f>SUM(B76:B78)</f>
        <v>0</v>
      </c>
      <c r="C79" s="56"/>
      <c r="D79" s="4"/>
      <c r="E79" s="144">
        <f>SUM(E76:E78)</f>
        <v>0</v>
      </c>
      <c r="F79" s="144">
        <f>SUM(F76:F78)</f>
        <v>0</v>
      </c>
      <c r="G79" s="144">
        <f>SUM(G76:G78)</f>
        <v>0</v>
      </c>
      <c r="H79" s="60"/>
      <c r="I79" s="153" t="str" cm="1">
        <f t="array" ref="I79">_xlfn.LET(
_xlpm.mem,H79,
_xlpm.retiradas,J79:M79,
_xlpm.adicoes,N79:Q79,
_xlpm.memAjustada,_xlfn.REDUCE(_xlpm.mem,_xlpm.retiradas,_xlfn.LAMBDA(_xlpm.x,_xlpm.y,IF(_xlpm.y&lt;&gt;"",SUBSTITUTE(_xlpm.x," + ("&amp;_xlpm.y&amp;")",""),_xlpm.x))),
_xlpm.memRemovida,_xlfn.REDUCE(_xlpm.memAjustada,_xlpm.retiradas,_xlfn.LAMBDA(_xlpm.x,_xlpm.y,IF(_xlpm.y&lt;&gt;"",SUBSTITUTE(_xlpm.x,"("&amp;_xlpm.y&amp;")",""),_xlpm.x))),
_xlpm.memSemSinal,IF(OR(LEFT(_xlpm.memRemovida,3)=" + ",LEFT(_xlpm.memRemovida,3)=" - "),MID(_xlpm.memRemovida,4,LEN(_xlpm.memRemovida)),_xlpm.memRemovida),
_xlpm.memFinal,IF(OR(RIGHT(_xlpm.memSemSinal,3)=" + ",RIGHT(_xlpm.memSemSinal,3)=" - "),LEFT(_xlpm.memSemSinal,LEN(_xlpm.memSemSinal)-3),_xlpm.memSemSinal),
_xlpm.adicoesTxt,_xlfn.TEXTJOIN(" + ",TRUE,IF(_xlpm.adicoes&lt;&gt;"","("&amp;_xlpm.adicoes&amp;")","")),
IF(_xlpm.memFinal="",_xlpm.adicoesTxt,IF(_xlpm.adicoesTxt="",_xlpm.memFinal,_xlpm.memFinal&amp;" + "&amp;_xlpm.adicoesTxt))
)</f>
        <v/>
      </c>
      <c r="J79" s="56"/>
      <c r="K79" s="56"/>
      <c r="L79" s="56"/>
      <c r="M79" s="56"/>
      <c r="N79" s="56"/>
      <c r="O79" s="56"/>
      <c r="P79" s="56"/>
      <c r="Q79" s="56"/>
      <c r="R79" s="27"/>
      <c r="S79" s="4"/>
      <c r="T79" s="4"/>
      <c r="U79" s="45"/>
      <c r="AM79" t="s">
        <v>127</v>
      </c>
    </row>
    <row r="80" spans="1:46" ht="35.1" customHeight="1" x14ac:dyDescent="0.25">
      <c r="A80" s="94" t="s">
        <v>128</v>
      </c>
      <c r="B80" s="133">
        <f>SUM(B75+B79)</f>
        <v>0</v>
      </c>
      <c r="C80" s="57"/>
      <c r="D80" s="4"/>
      <c r="E80" s="133">
        <f>SUM(E75+E79)</f>
        <v>0</v>
      </c>
      <c r="F80" s="133">
        <f>SUM(F75+F79)</f>
        <v>0</v>
      </c>
      <c r="G80" s="133">
        <f>SUM(G75+G79)</f>
        <v>0</v>
      </c>
      <c r="H80" s="47"/>
      <c r="I80" s="154"/>
      <c r="J80" s="57"/>
      <c r="K80" s="57"/>
      <c r="L80" s="57"/>
      <c r="M80" s="57"/>
      <c r="N80" s="57"/>
      <c r="O80" s="57"/>
      <c r="P80" s="57"/>
      <c r="Q80" s="57"/>
      <c r="R80" s="27"/>
      <c r="S80" s="4"/>
      <c r="T80" s="4"/>
      <c r="U80" s="45"/>
      <c r="AM80" t="s">
        <v>129</v>
      </c>
    </row>
    <row r="81" spans="1:17" ht="9.9499999999999993" customHeight="1" x14ac:dyDescent="0.25">
      <c r="A81" s="85"/>
      <c r="B81" s="4"/>
      <c r="C81" s="45"/>
      <c r="D81" s="4"/>
      <c r="E81" s="4"/>
      <c r="F81" s="4"/>
      <c r="G81" s="4"/>
      <c r="H81" s="45"/>
      <c r="I81" s="150"/>
      <c r="J81" s="45"/>
      <c r="K81" s="45"/>
      <c r="L81" s="45"/>
      <c r="M81" s="45"/>
      <c r="N81" s="45"/>
      <c r="O81" s="45"/>
      <c r="P81" s="45"/>
      <c r="Q81" s="45"/>
    </row>
    <row r="82" spans="1:17" ht="9.9499999999999993" customHeight="1" x14ac:dyDescent="0.25">
      <c r="A82" s="85"/>
      <c r="B82" s="4"/>
      <c r="C82" s="45"/>
      <c r="D82" s="4"/>
      <c r="E82" s="4"/>
      <c r="F82" s="4"/>
      <c r="G82" s="4"/>
      <c r="H82" s="45"/>
      <c r="I82" s="150"/>
      <c r="J82" s="45"/>
      <c r="K82" s="45"/>
      <c r="L82" s="45"/>
      <c r="M82" s="45"/>
      <c r="N82" s="45"/>
      <c r="O82" s="45"/>
      <c r="P82" s="45"/>
      <c r="Q82" s="45"/>
    </row>
    <row r="83" spans="1:17" ht="9.9499999999999993" customHeight="1" x14ac:dyDescent="0.25">
      <c r="A83" s="85"/>
      <c r="B83" s="4"/>
      <c r="C83" s="45"/>
      <c r="D83" s="4"/>
      <c r="E83" s="4"/>
      <c r="F83" s="4"/>
      <c r="G83" s="4"/>
      <c r="H83" s="45"/>
      <c r="I83" s="150"/>
      <c r="J83" s="45"/>
      <c r="K83" s="45"/>
      <c r="L83" s="45"/>
      <c r="M83" s="45"/>
      <c r="N83" s="45"/>
      <c r="O83" s="45"/>
      <c r="P83" s="45"/>
      <c r="Q83" s="45"/>
    </row>
    <row r="84" spans="1:17" ht="35.1" customHeight="1" x14ac:dyDescent="0.25">
      <c r="A84" s="95" t="s">
        <v>130</v>
      </c>
      <c r="B84" s="22">
        <f>B72+B80</f>
        <v>0</v>
      </c>
      <c r="C84" s="57"/>
      <c r="D84" s="4"/>
      <c r="E84" s="22">
        <f>E72+E80</f>
        <v>0</v>
      </c>
      <c r="F84" s="22">
        <f>F72+F80</f>
        <v>0</v>
      </c>
      <c r="G84" s="22">
        <f>G72+G80</f>
        <v>0</v>
      </c>
      <c r="H84" s="60"/>
      <c r="I84" s="154"/>
      <c r="J84" s="57"/>
      <c r="K84" s="57"/>
      <c r="L84" s="57"/>
      <c r="M84" s="57"/>
      <c r="N84" s="57"/>
      <c r="O84" s="57"/>
      <c r="P84" s="57"/>
      <c r="Q84" s="57"/>
    </row>
    <row r="85" spans="1:17" ht="14.25" customHeight="1" x14ac:dyDescent="0.25">
      <c r="A85" s="96"/>
    </row>
    <row r="86" spans="1:17" ht="14.25" customHeight="1" x14ac:dyDescent="0.25">
      <c r="A86" s="96"/>
    </row>
    <row r="87" spans="1:17" ht="14.25" customHeight="1" x14ac:dyDescent="0.25">
      <c r="A87" s="96"/>
    </row>
    <row r="88" spans="1:17" ht="14.25" customHeight="1" x14ac:dyDescent="0.25">
      <c r="A88" s="86" t="s">
        <v>131</v>
      </c>
      <c r="B88" s="28">
        <f>B41-B80</f>
        <v>0</v>
      </c>
      <c r="E88" s="28">
        <f>E41-E84</f>
        <v>0</v>
      </c>
      <c r="F88" s="28">
        <f>F41-F84</f>
        <v>0</v>
      </c>
      <c r="G88" s="28">
        <f>G41-G84</f>
        <v>0</v>
      </c>
    </row>
  </sheetData>
  <conditionalFormatting sqref="A81:Q83">
    <cfRule type="expression" dxfId="3" priority="1">
      <formula>A$6="-"</formula>
    </cfRule>
  </conditionalFormatting>
  <conditionalFormatting sqref="D74:D80">
    <cfRule type="expression" dxfId="2" priority="3">
      <formula>D$6="-"</formula>
    </cfRule>
  </conditionalFormatting>
  <conditionalFormatting sqref="D84">
    <cfRule type="expression" dxfId="1" priority="2">
      <formula>D$6="-"</formula>
    </cfRule>
  </conditionalFormatting>
  <conditionalFormatting sqref="V3 D3:D41 D43:D72 D73:G73">
    <cfRule type="expression" dxfId="0" priority="5">
      <formula>D$6="-"</formula>
    </cfRule>
  </conditionalFormatting>
  <dataValidations count="4">
    <dataValidation type="list" allowBlank="1" showInputMessage="1" showErrorMessage="1" sqref="A12" xr:uid="{00000000-0002-0000-0000-000000000000}">
      <formula1>"Matéria-Prima,Veiculos Novos (autos),Matéria-Prima,terrenos e outros (incorporadoras)"</formula1>
      <formula2>0</formula2>
    </dataValidation>
    <dataValidation type="list" allowBlank="1" showInputMessage="1" showErrorMessage="1" sqref="A13" xr:uid="{00000000-0002-0000-0000-000001000000}">
      <formula1>"Produtos em Elaboração,Veiculos Usados (autos),Obras em Andamento (incorporadora)"</formula1>
      <formula2>0</formula2>
    </dataValidation>
    <dataValidation type="list" allowBlank="1" showInputMessage="1" showErrorMessage="1" sqref="A14" xr:uid="{00000000-0002-0000-0000-000002000000}">
      <formula1>"Produtos Acabados,Peças e outros (autos),Obras Concluidas (incorporadoras)"</formula1>
      <formula2>0</formula2>
    </dataValidation>
    <dataValidation type="list" allowBlank="1" showInputMessage="1" showErrorMessage="1" sqref="AB5:AB6 AB8 AB10:AB11 AB13:AB14 AB16:AB17 AB19 AB21:AB22 AB24:AB25 AB27:AB30 AB33:AB34 AB36 AB39:AB40" xr:uid="{00000000-0002-0000-0000-000003000000}">
      <formula1>$AM$1:$AN$1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"/>
  <sheetViews>
    <sheetView topLeftCell="B1" zoomScaleNormal="100" workbookViewId="0">
      <selection activeCell="K1" sqref="K1"/>
    </sheetView>
  </sheetViews>
  <sheetFormatPr defaultColWidth="8.7109375" defaultRowHeight="14.25" customHeight="1" x14ac:dyDescent="0.25"/>
  <cols>
    <col min="1" max="1" width="100.7109375" customWidth="1"/>
    <col min="2" max="2" width="23.28515625" style="23" bestFit="1" customWidth="1"/>
    <col min="3" max="3" width="12" customWidth="1"/>
    <col min="4" max="4" width="22" customWidth="1"/>
    <col min="5" max="5" width="14" bestFit="1" customWidth="1"/>
    <col min="6" max="6" width="34" customWidth="1"/>
    <col min="7" max="7" width="19.28515625" customWidth="1"/>
    <col min="8" max="8" width="34" customWidth="1"/>
    <col min="9" max="9" width="20" customWidth="1"/>
    <col min="10" max="10" width="10" bestFit="1" customWidth="1"/>
    <col min="11" max="13" width="15.28515625" customWidth="1"/>
  </cols>
  <sheetData>
    <row r="1" spans="1:14" ht="15" customHeight="1" x14ac:dyDescent="0.25">
      <c r="A1" s="26" t="s">
        <v>0</v>
      </c>
      <c r="B1" s="26" t="s">
        <v>132</v>
      </c>
      <c r="C1" s="26" t="s">
        <v>133</v>
      </c>
      <c r="D1" s="26" t="s">
        <v>134</v>
      </c>
      <c r="E1" s="26" t="s">
        <v>135</v>
      </c>
      <c r="F1" s="26" t="s">
        <v>136</v>
      </c>
      <c r="G1" s="26" t="s">
        <v>137</v>
      </c>
      <c r="H1" s="26" t="s">
        <v>138</v>
      </c>
      <c r="I1" s="26" t="s">
        <v>139</v>
      </c>
      <c r="J1" s="26" t="s">
        <v>140</v>
      </c>
      <c r="K1" s="26" t="s">
        <v>141</v>
      </c>
      <c r="L1" s="26" t="s">
        <v>142</v>
      </c>
      <c r="M1" s="26" t="s">
        <v>143</v>
      </c>
      <c r="N1" s="26" t="s">
        <v>144</v>
      </c>
    </row>
  </sheetData>
  <autoFilter ref="A1:N1" xr:uid="{00000000-0001-0000-01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4"/>
  <sheetViews>
    <sheetView tabSelected="1" workbookViewId="0"/>
  </sheetViews>
  <sheetFormatPr defaultRowHeight="15" x14ac:dyDescent="0.25"/>
  <cols>
    <col min="1" max="1" width="53" bestFit="1" customWidth="1"/>
    <col min="3" max="3" width="42" bestFit="1" customWidth="1"/>
    <col min="5" max="5" width="53" bestFit="1" customWidth="1"/>
  </cols>
  <sheetData>
    <row r="1" spans="1:12" x14ac:dyDescent="0.25">
      <c r="A1" s="25" t="s">
        <v>0</v>
      </c>
      <c r="B1" s="25"/>
      <c r="C1" s="25" t="s">
        <v>1</v>
      </c>
      <c r="D1" s="25"/>
      <c r="E1" s="25" t="s">
        <v>2</v>
      </c>
      <c r="F1" s="186" t="s">
        <v>3</v>
      </c>
      <c r="G1" s="187"/>
      <c r="H1" s="187"/>
      <c r="I1" s="187"/>
      <c r="J1" s="187"/>
      <c r="K1" s="187"/>
      <c r="L1" s="187"/>
    </row>
    <row r="2" spans="1:12" x14ac:dyDescent="0.25">
      <c r="A2" t="str" cm="1">
        <f t="array" ref="A2">IFERROR(_xlfn._xlws.SORT(_xlfn.UNIQUE(_xlfn._xlws.FILTER(rastreabilidade!$M$2:$M$1048576,rastreabilidade!$M$2:$M$1048576&lt;&gt;""))),"")</f>
        <v/>
      </c>
      <c r="C2" t="str" cm="1">
        <f t="array" ref="C2">IFERROR(_xlfn.LET(
_xlpm.Base,_xlfn._xlws.SORT(_xlfn.UNIQUE(_xlfn._xlws.FILTER(rastreabilidade!$M$2:$M$1048576,rastreabilidade!$M$2:$M$1048576&lt;&gt;""))),
_xlpm.Usados,_xlfn.TOCOL(_xlfn.VSTACK(shadow!$M$5:$P$41,shadow!$M$45:$P$78,shadow!$Y$5:$AB$41),1),
_xlfn._xlws.FILTER(_xlpm.Base,ISNA(MATCH(_xlpm.Base,_xlpm.Usados,0)))
),"")</f>
        <v/>
      </c>
      <c r="E2" t="str" cm="1">
        <f t="array" ref="E2">IFERROR(_xlfn.LET(
_xlpm.Base,_xlfn._xlws.SORT(_xlfn.UNIQUE(_xlfn._xlws.FILTER(rastreabilidade!$M$2:$M$1048576,rastreabilidade!$M$2:$M$1048576&lt;&gt;""))),
_xlpm.Usados,_xlfn.TOCOL(_xlfn.VSTACK(shadow!$I$5:$L$41,shadow!$I$45:$L$78,shadow!$T$5:$X$41),1),
_xlfn._xlws.FILTER(_xlpm.Base,ISNA(MATCH(_xlpm.Base,_xlpm.Usados,0)))
),"")</f>
        <v/>
      </c>
      <c r="F2" s="187"/>
      <c r="G2" s="187"/>
      <c r="H2" s="187"/>
      <c r="I2" s="187"/>
      <c r="J2" s="187"/>
      <c r="K2" s="187"/>
      <c r="L2" s="187"/>
    </row>
    <row r="3" spans="1:12" x14ac:dyDescent="0.25">
      <c r="F3" s="187"/>
      <c r="G3" s="187"/>
      <c r="H3" s="187"/>
      <c r="I3" s="187"/>
      <c r="J3" s="187"/>
      <c r="K3" s="187"/>
      <c r="L3" s="187"/>
    </row>
    <row r="4" spans="1:12" x14ac:dyDescent="0.25">
      <c r="F4" s="187"/>
      <c r="G4" s="187"/>
      <c r="H4" s="187"/>
      <c r="I4" s="187"/>
      <c r="J4" s="187"/>
      <c r="K4" s="187"/>
      <c r="L4" s="187"/>
    </row>
  </sheetData>
  <mergeCells count="1">
    <mergeCell ref="F1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G3"/>
  <sheetViews>
    <sheetView zoomScale="85" zoomScaleNormal="85" workbookViewId="0">
      <selection activeCell="AC2" sqref="AC2"/>
    </sheetView>
  </sheetViews>
  <sheetFormatPr defaultRowHeight="15" x14ac:dyDescent="0.25"/>
  <cols>
    <col min="1" max="1" width="14" style="182" bestFit="1" customWidth="1"/>
    <col min="2" max="2" width="19.42578125" style="182" bestFit="1" customWidth="1"/>
    <col min="3" max="3" width="5.42578125" style="182" bestFit="1" customWidth="1"/>
    <col min="4" max="4" width="8.5703125" style="182" bestFit="1" customWidth="1"/>
    <col min="5" max="5" width="6.5703125" style="182" bestFit="1" customWidth="1"/>
    <col min="6" max="6" width="11.42578125" style="182" bestFit="1" customWidth="1"/>
    <col min="7" max="7" width="18.140625" style="182" bestFit="1" customWidth="1"/>
    <col min="8" max="8" width="17.28515625" style="182" bestFit="1" customWidth="1"/>
    <col min="9" max="9" width="18.7109375" style="182" bestFit="1" customWidth="1"/>
    <col min="10" max="10" width="7.28515625" style="182" bestFit="1" customWidth="1"/>
    <col min="11" max="11" width="26.85546875" style="182" bestFit="1" customWidth="1"/>
    <col min="12" max="12" width="15.7109375" style="182" bestFit="1" customWidth="1"/>
    <col min="13" max="13" width="29.140625" style="182" bestFit="1" customWidth="1"/>
    <col min="14" max="14" width="48.42578125" style="182" bestFit="1" customWidth="1"/>
    <col min="15" max="15" width="20.85546875" style="182" bestFit="1" customWidth="1"/>
    <col min="16" max="16" width="17.5703125" style="182" bestFit="1" customWidth="1"/>
    <col min="17" max="17" width="20.140625" style="182" bestFit="1" customWidth="1"/>
    <col min="18" max="18" width="14.7109375" style="182" bestFit="1" customWidth="1"/>
    <col min="19" max="19" width="17.7109375" style="182" bestFit="1" customWidth="1"/>
    <col min="20" max="20" width="10.28515625" style="182" bestFit="1" customWidth="1"/>
    <col min="21" max="23" width="9.42578125" style="182" bestFit="1" customWidth="1"/>
    <col min="24" max="24" width="31.42578125" style="182" bestFit="1" customWidth="1"/>
    <col min="25" max="25" width="24.5703125" style="182" bestFit="1" customWidth="1"/>
    <col min="26" max="26" width="37.28515625" style="182" bestFit="1" customWidth="1"/>
    <col min="27" max="27" width="51.5703125" style="182" bestFit="1" customWidth="1"/>
    <col min="28" max="28" width="45.5703125" style="182" customWidth="1"/>
    <col min="29" max="29" width="40.28515625" style="182" bestFit="1" customWidth="1"/>
    <col min="30" max="30" width="42.28515625" style="182" bestFit="1" customWidth="1"/>
    <col min="31" max="31" width="34.5703125" style="182" bestFit="1" customWidth="1"/>
    <col min="32" max="16384" width="9.140625" style="182"/>
  </cols>
  <sheetData>
    <row r="1" spans="1:33" s="181" customFormat="1" x14ac:dyDescent="0.25">
      <c r="A1" s="179" t="s">
        <v>157</v>
      </c>
      <c r="B1" s="179" t="s">
        <v>145</v>
      </c>
      <c r="C1" s="179" t="s">
        <v>158</v>
      </c>
      <c r="D1" s="179" t="s">
        <v>146</v>
      </c>
      <c r="E1" s="179" t="s">
        <v>139</v>
      </c>
      <c r="F1" s="179" t="s">
        <v>159</v>
      </c>
      <c r="G1" s="180" t="s">
        <v>160</v>
      </c>
      <c r="H1" s="179" t="s">
        <v>161</v>
      </c>
      <c r="I1" s="179" t="s">
        <v>162</v>
      </c>
      <c r="J1" s="179" t="s">
        <v>163</v>
      </c>
      <c r="K1" s="179" t="s">
        <v>164</v>
      </c>
      <c r="L1" s="179" t="s">
        <v>165</v>
      </c>
      <c r="M1" s="179" t="s">
        <v>166</v>
      </c>
      <c r="N1" s="179" t="s">
        <v>167</v>
      </c>
      <c r="O1" s="179" t="s">
        <v>168</v>
      </c>
      <c r="P1" s="179" t="s">
        <v>169</v>
      </c>
      <c r="Q1" s="179" t="s">
        <v>170</v>
      </c>
      <c r="R1" s="179" t="s">
        <v>171</v>
      </c>
      <c r="S1" s="179" t="s">
        <v>172</v>
      </c>
      <c r="T1" s="179" t="s">
        <v>147</v>
      </c>
      <c r="U1" s="179" t="s">
        <v>148</v>
      </c>
      <c r="V1" s="179" t="s">
        <v>149</v>
      </c>
      <c r="W1" s="179" t="s">
        <v>150</v>
      </c>
      <c r="X1" s="179" t="s">
        <v>151</v>
      </c>
      <c r="Y1" s="179" t="s">
        <v>152</v>
      </c>
      <c r="Z1" s="179" t="s">
        <v>153</v>
      </c>
      <c r="AA1" s="179" t="s">
        <v>175</v>
      </c>
      <c r="AB1" s="179" t="s">
        <v>173</v>
      </c>
      <c r="AC1" s="179" t="s">
        <v>154</v>
      </c>
      <c r="AD1" s="179" t="s">
        <v>155</v>
      </c>
      <c r="AE1" s="179" t="s">
        <v>156</v>
      </c>
    </row>
    <row r="3" spans="1:33" x14ac:dyDescent="0.25">
      <c r="AG3" s="183"/>
    </row>
  </sheetData>
  <pageMargins left="0.7" right="0.7" top="0.75" bottom="0.75" header="0.3" footer="0.3"/>
  <headerFooter>
    <oddHeader>&amp;L&amp;"Aptos"&amp;1 &amp;K000000 Confidential#_x000D_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shadow</vt:lpstr>
      <vt:lpstr>rastreabilidade</vt:lpstr>
      <vt:lpstr>listas</vt:lpstr>
      <vt:lpstr>Base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Silva Santos</dc:creator>
  <cp:lastModifiedBy>Raphael Silva Santos</cp:lastModifiedBy>
  <dcterms:created xsi:type="dcterms:W3CDTF">2026-04-07T18:34:16Z</dcterms:created>
  <dcterms:modified xsi:type="dcterms:W3CDTF">2026-06-30T20:39:22Z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ActionId">
    <vt:lpwstr>aecc5a5e-38f5-46a3-9986-cb1af94dccd9</vt:lpwstr>
  </property>
  <property fmtid="{D5CDD505-2E9C-101B-9397-08002B2CF9AE}" pid="3" name="MSIP_Label_3c41c091-3cbc-4dba-8b59-ce62f19500db_ContentBits">
    <vt:lpwstr>1</vt:lpwstr>
  </property>
  <property fmtid="{D5CDD505-2E9C-101B-9397-08002B2CF9AE}" pid="4" name="MSIP_Label_3c41c091-3cbc-4dba-8b59-ce62f19500db_Enabled">
    <vt:lpwstr>true</vt:lpwstr>
  </property>
  <property fmtid="{D5CDD505-2E9C-101B-9397-08002B2CF9AE}" pid="5" name="MSIP_Label_3c41c091-3cbc-4dba-8b59-ce62f19500db_Method">
    <vt:lpwstr>Privileged</vt:lpwstr>
  </property>
  <property fmtid="{D5CDD505-2E9C-101B-9397-08002B2CF9AE}" pid="6" name="MSIP_Label_3c41c091-3cbc-4dba-8b59-ce62f19500db_Name">
    <vt:lpwstr>Confidential_0_1</vt:lpwstr>
  </property>
  <property fmtid="{D5CDD505-2E9C-101B-9397-08002B2CF9AE}" pid="7" name="MSIP_Label_3c41c091-3cbc-4dba-8b59-ce62f19500db_SetDate">
    <vt:lpwstr>2026-03-19T17:31:35Z</vt:lpwstr>
  </property>
  <property fmtid="{D5CDD505-2E9C-101B-9397-08002B2CF9AE}" pid="8" name="MSIP_Label_3c41c091-3cbc-4dba-8b59-ce62f19500db_SiteId">
    <vt:lpwstr>35595a02-4d6d-44ac-99e1-f9ab4cd872db</vt:lpwstr>
  </property>
  <property fmtid="{D5CDD505-2E9C-101B-9397-08002B2CF9AE}" pid="9" name="MSIP_Label_3c41c091-3cbc-4dba-8b59-ce62f19500db_Tag">
    <vt:lpwstr>10, 0, 1, 1</vt:lpwstr>
  </property>
</Properties>
</file>