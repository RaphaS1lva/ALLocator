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t707702_santander_com_br/Documents/Documents/Victor/1 - ALICE vs MAISA/"/>
    </mc:Choice>
  </mc:AlternateContent>
  <xr:revisionPtr revIDLastSave="79" documentId="8_{1D100AE2-8F73-45BC-BFBA-AF06A5DEB3FA}" xr6:coauthVersionLast="47" xr6:coauthVersionMax="47" xr10:uidLastSave="{0BACED74-8D40-4E78-8E05-14098B28701B}"/>
  <bookViews>
    <workbookView xWindow="-120" yWindow="-120" windowWidth="29040" windowHeight="15720" activeTab="1" xr2:uid="{E9C0261D-1984-4029-8574-BC1D3A8659B1}"/>
  </bookViews>
  <sheets>
    <sheet name="Shadow" sheetId="1" r:id="rId1"/>
    <sheet name="INTERPRET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E31" i="1" l="1"/>
  <c r="D7" i="1"/>
  <c r="D9" i="1" s="1"/>
  <c r="D12" i="1" s="1"/>
  <c r="D15" i="1" s="1"/>
  <c r="C31" i="1"/>
  <c r="E7" i="1"/>
  <c r="E9" i="1" s="1"/>
  <c r="E12" i="1" s="1"/>
  <c r="E15" i="1" s="1"/>
  <c r="C23" i="1"/>
  <c r="D31" i="1"/>
  <c r="D23" i="1"/>
  <c r="E23" i="1"/>
  <c r="C9" i="1"/>
  <c r="C12" i="1" s="1"/>
  <c r="C15" i="1" s="1"/>
  <c r="D26" i="1" l="1"/>
  <c r="D32" i="1" s="1"/>
  <c r="D35" i="1" s="1"/>
  <c r="D37" i="1" s="1"/>
  <c r="D41" i="1" s="1"/>
  <c r="D18" i="1"/>
  <c r="D20" i="1" s="1"/>
  <c r="E26" i="1"/>
  <c r="E32" i="1" s="1"/>
  <c r="E35" i="1" s="1"/>
  <c r="E37" i="1" s="1"/>
  <c r="E18" i="1"/>
  <c r="E20" i="1" s="1"/>
  <c r="C26" i="1"/>
  <c r="C32" i="1" s="1"/>
  <c r="C35" i="1" s="1"/>
  <c r="C37" i="1" s="1"/>
  <c r="C18" i="1"/>
  <c r="C20" i="1" s="1"/>
  <c r="D38" i="1" l="1"/>
  <c r="E41" i="1"/>
  <c r="E38" i="1"/>
  <c r="C41" i="1"/>
  <c r="C38" i="1"/>
</calcChain>
</file>

<file path=xl/sharedStrings.xml><?xml version="1.0" encoding="utf-8"?>
<sst xmlns="http://schemas.openxmlformats.org/spreadsheetml/2006/main" count="84" uniqueCount="52">
  <si>
    <t>DEMONSTRAÇÃO DE RESULTADOS</t>
  </si>
  <si>
    <t>Vendas Totais</t>
  </si>
  <si>
    <t>-Impostos</t>
  </si>
  <si>
    <t>Vendas Líquidas</t>
  </si>
  <si>
    <t>-Custo de Produtos Vendidos</t>
  </si>
  <si>
    <t>Resultado Bruto</t>
  </si>
  <si>
    <t>- Despesas com Vendas</t>
  </si>
  <si>
    <t>- Despesas Administrativas</t>
  </si>
  <si>
    <t xml:space="preserve">Resultado da Exploração </t>
  </si>
  <si>
    <t>+/-Outras Receitas/Despesas Operacionais</t>
  </si>
  <si>
    <t>+/-Provisões Operacionais</t>
  </si>
  <si>
    <t>Resultado Operacional (EBIT)</t>
  </si>
  <si>
    <t>- Depreciação e amortização (imob e intang)</t>
  </si>
  <si>
    <t>- Depreciação/Amortização dos Arrendamentos Op.</t>
  </si>
  <si>
    <t>EBITDA</t>
  </si>
  <si>
    <t>- Despesas/Custo de Aluguel</t>
  </si>
  <si>
    <t>EBITDA ex-IFRS16</t>
  </si>
  <si>
    <t>-  Despesas Financeiras</t>
  </si>
  <si>
    <t>+ Receitas Financeiras</t>
  </si>
  <si>
    <t>+/- Resultado Financeiro</t>
  </si>
  <si>
    <t>+/- Variações Cambiais</t>
  </si>
  <si>
    <t>+/- Equivalência Patrimonial</t>
  </si>
  <si>
    <t>Lucro antes de Impostos e Extraordinários</t>
  </si>
  <si>
    <t>Outros não recorrentes e/ou não operacionais</t>
  </si>
  <si>
    <t>+/- Créditos Tributários</t>
  </si>
  <si>
    <t>+/- Resultado de alienação do Imobilizado</t>
  </si>
  <si>
    <t>- Juros de Arrendamento Operacional</t>
  </si>
  <si>
    <t>+/- Resultado Extraordinário</t>
  </si>
  <si>
    <t xml:space="preserve">Lucro antes de Impostos </t>
  </si>
  <si>
    <t>- Impostos Pagos</t>
  </si>
  <si>
    <t>+/- Impostos Diferidos</t>
  </si>
  <si>
    <t>Lucro Liquido</t>
  </si>
  <si>
    <t>+/- Resultados Abrangentes</t>
  </si>
  <si>
    <t>Lucro Líquido+Resultado Abrangente a Distribuir</t>
  </si>
  <si>
    <t>Lucro líquido a distribuir ajustado</t>
  </si>
  <si>
    <t>- Dividendos</t>
  </si>
  <si>
    <t>+/- Participações Minoritárias</t>
  </si>
  <si>
    <t>Lucro após dividendos e minoritários</t>
  </si>
  <si>
    <t xml:space="preserve">ANO 1 </t>
  </si>
  <si>
    <t xml:space="preserve">ANO 2 </t>
  </si>
  <si>
    <t>ANO 3</t>
  </si>
  <si>
    <t>Contribui para lucro</t>
  </si>
  <si>
    <t>Contribui para prejuizo</t>
  </si>
  <si>
    <t>Contribui para prejuizo ou lucro</t>
  </si>
  <si>
    <t>GPT</t>
  </si>
  <si>
    <t>+</t>
  </si>
  <si>
    <t>IMPACTO no modelo</t>
  </si>
  <si>
    <t>INPUT no modelo</t>
  </si>
  <si>
    <t>LEITURA DO GPT</t>
  </si>
  <si>
    <t>Contribui para Prejuizo</t>
  </si>
  <si>
    <t>mesmo sinal orginal da leitura do GPT</t>
  </si>
  <si>
    <t>inverter sinal na leitura do 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</si>
</sst>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#,##0;\(#,##0\);&quot;&quot;"/>
    <numFmt numFmtId="166" formatCode="dd/mm/yy"/>
    <numFmt numFmtId="167" formatCode="_-* #,##0.00\ _P_t_s_-;\-* #,##0.00\ _P_t_s_-;_-* \-??\ _P_t_s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Arial"/>
      <family val="2"/>
    </font>
    <font>
      <sz val="10"/>
      <name val="Arial"/>
      <family val="2"/>
      <charset val="1"/>
    </font>
    <font>
      <b/>
      <sz val="11"/>
      <color theme="0"/>
      <name val="Segoe UI"/>
      <family val="2"/>
      <charset val="1"/>
    </font>
    <font>
      <sz val="12"/>
      <name val="Segoe UI"/>
      <family val="2"/>
      <charset val="1"/>
    </font>
    <font>
      <b/>
      <sz val="12"/>
      <name val="Segoe UI"/>
      <family val="2"/>
      <charset val="1"/>
    </font>
    <font>
      <b/>
      <i/>
      <sz val="12"/>
      <color theme="1" tint="0.3498947111423078"/>
      <name val="Segoe UI"/>
      <family val="2"/>
      <charset val="1"/>
    </font>
    <font>
      <sz val="11"/>
      <name val="Segoe UI"/>
      <family val="2"/>
      <charset val="1"/>
    </font>
    <font>
      <b/>
      <sz val="12"/>
      <color theme="0"/>
      <name val="Arial"/>
      <family val="2"/>
    </font>
    <font>
      <b/>
      <sz val="10"/>
      <name val="Segoe UI"/>
      <family val="2"/>
      <charset val="1"/>
    </font>
    <font>
      <sz val="10"/>
      <color rgb="FF0070C0"/>
      <name val="Segoe UI"/>
      <family val="2"/>
      <charset val="1"/>
    </font>
    <font>
      <b/>
      <i/>
      <sz val="9"/>
      <color theme="1" tint="0.3498947111423078"/>
      <name val="Segoe U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 tint="-0.14999847407452621"/>
        <bgColor rgb="FFDDD9C4"/>
      </patternFill>
    </fill>
    <fill>
      <patternFill patternType="solid">
        <fgColor rgb="FFFFE699"/>
        <bgColor rgb="FFFDE9D9"/>
      </patternFill>
    </fill>
    <fill>
      <patternFill patternType="solid">
        <fgColor theme="0" tint="-0.249977111117893"/>
        <bgColor rgb="FFCCD4DE"/>
      </patternFill>
    </fill>
    <fill>
      <patternFill patternType="solid">
        <fgColor rgb="FFFDE9D9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164" fontId="3" fillId="0" borderId="0"/>
    <xf numFmtId="0" fontId="1" fillId="0" borderId="0"/>
    <xf numFmtId="167" fontId="3" fillId="0" borderId="0"/>
    <xf numFmtId="0" fontId="3" fillId="0" borderId="0"/>
  </cellStyleXfs>
  <cellXfs count="36">
    <xf numFmtId="0" fontId="0" fillId="0" borderId="0" xfId="0"/>
    <xf numFmtId="0" fontId="2" fillId="0" borderId="0" xfId="1" applyFont="1" applyAlignment="1">
      <alignment horizontal="center" vertical="center"/>
    </xf>
    <xf numFmtId="164" fontId="4" fillId="2" borderId="1" xfId="2" applyFont="1" applyFill="1" applyBorder="1" applyAlignment="1">
      <alignment horizontal="left" vertical="center"/>
    </xf>
    <xf numFmtId="164" fontId="5" fillId="0" borderId="1" xfId="2" applyFont="1" applyBorder="1" applyAlignment="1" applyProtection="1">
      <alignment horizontal="left" vertical="center"/>
      <protection locked="0"/>
    </xf>
    <xf numFmtId="164" fontId="5" fillId="0" borderId="2" xfId="2" applyFont="1" applyBorder="1" applyAlignment="1" applyProtection="1">
      <alignment horizontal="left" vertical="center"/>
      <protection locked="0"/>
    </xf>
    <xf numFmtId="164" fontId="6" fillId="3" borderId="3" xfId="2" applyFont="1" applyFill="1" applyBorder="1" applyAlignment="1">
      <alignment horizontal="left" vertical="center"/>
    </xf>
    <xf numFmtId="165" fontId="5" fillId="0" borderId="4" xfId="2" applyNumberFormat="1" applyFont="1" applyBorder="1" applyAlignment="1">
      <alignment horizontal="left" vertical="center"/>
    </xf>
    <xf numFmtId="164" fontId="5" fillId="0" borderId="5" xfId="2" applyFont="1" applyBorder="1" applyAlignment="1" applyProtection="1">
      <alignment horizontal="left" vertical="center"/>
      <protection locked="0"/>
    </xf>
    <xf numFmtId="164" fontId="5" fillId="4" borderId="4" xfId="2" applyFont="1" applyFill="1" applyBorder="1" applyAlignment="1">
      <alignment horizontal="left" vertical="center"/>
    </xf>
    <xf numFmtId="165" fontId="6" fillId="3" borderId="6" xfId="2" applyNumberFormat="1" applyFont="1" applyFill="1" applyBorder="1" applyAlignment="1">
      <alignment horizontal="left" vertical="center"/>
    </xf>
    <xf numFmtId="164" fontId="5" fillId="0" borderId="7" xfId="2" applyFont="1" applyBorder="1" applyAlignment="1" applyProtection="1">
      <alignment horizontal="left" vertical="center"/>
      <protection locked="0"/>
    </xf>
    <xf numFmtId="164" fontId="6" fillId="3" borderId="4" xfId="2" applyFont="1" applyFill="1" applyBorder="1" applyAlignment="1">
      <alignment horizontal="left" vertical="center"/>
    </xf>
    <xf numFmtId="164" fontId="5" fillId="0" borderId="4" xfId="2" applyFont="1" applyBorder="1" applyAlignment="1">
      <alignment horizontal="left" vertical="center"/>
    </xf>
    <xf numFmtId="165" fontId="6" fillId="5" borderId="8" xfId="2" applyNumberFormat="1" applyFont="1" applyFill="1" applyBorder="1" applyAlignment="1">
      <alignment horizontal="left" vertical="center"/>
    </xf>
    <xf numFmtId="165" fontId="6" fillId="5" borderId="6" xfId="2" applyNumberFormat="1" applyFont="1" applyFill="1" applyBorder="1" applyAlignment="1">
      <alignment horizontal="left" vertical="center"/>
    </xf>
    <xf numFmtId="164" fontId="7" fillId="6" borderId="9" xfId="2" applyFont="1" applyFill="1" applyBorder="1" applyAlignment="1">
      <alignment horizontal="left" vertical="center"/>
    </xf>
    <xf numFmtId="0" fontId="1" fillId="0" borderId="0" xfId="3"/>
    <xf numFmtId="0" fontId="8" fillId="7" borderId="0" xfId="2" applyNumberFormat="1" applyFont="1" applyFill="1" applyAlignment="1" applyProtection="1">
      <alignment horizontal="center" vertical="center"/>
      <protection locked="0"/>
    </xf>
    <xf numFmtId="3" fontId="0" fillId="0" borderId="0" xfId="0" applyNumberFormat="1"/>
    <xf numFmtId="0" fontId="9" fillId="2" borderId="0" xfId="3" applyFont="1" applyFill="1" applyAlignment="1">
      <alignment horizontal="center" vertical="center"/>
    </xf>
    <xf numFmtId="166" fontId="10" fillId="3" borderId="10" xfId="2" applyNumberFormat="1" applyFont="1" applyFill="1" applyBorder="1" applyAlignment="1">
      <alignment horizontal="center" vertical="center"/>
    </xf>
    <xf numFmtId="165" fontId="11" fillId="0" borderId="10" xfId="4" applyNumberFormat="1" applyFont="1" applyBorder="1" applyAlignment="1">
      <alignment horizontal="center" vertical="center"/>
    </xf>
    <xf numFmtId="165" fontId="10" fillId="3" borderId="9" xfId="4" applyNumberFormat="1" applyFont="1" applyFill="1" applyBorder="1" applyAlignment="1">
      <alignment horizontal="center" vertical="center"/>
    </xf>
    <xf numFmtId="165" fontId="11" fillId="0" borderId="4" xfId="2" applyNumberFormat="1" applyFont="1" applyBorder="1" applyAlignment="1">
      <alignment horizontal="center" vertical="center"/>
    </xf>
    <xf numFmtId="165" fontId="11" fillId="0" borderId="7" xfId="4" applyNumberFormat="1" applyFont="1" applyBorder="1" applyAlignment="1">
      <alignment horizontal="center" vertical="center"/>
    </xf>
    <xf numFmtId="165" fontId="11" fillId="4" borderId="4" xfId="2" applyNumberFormat="1" applyFont="1" applyFill="1" applyBorder="1" applyAlignment="1">
      <alignment horizontal="center" vertical="center"/>
    </xf>
    <xf numFmtId="165" fontId="10" fillId="7" borderId="7" xfId="2" applyNumberFormat="1" applyFont="1" applyFill="1" applyBorder="1" applyAlignment="1">
      <alignment horizontal="center" vertical="center"/>
    </xf>
    <xf numFmtId="165" fontId="11" fillId="0" borderId="7" xfId="5" applyNumberFormat="1" applyFont="1" applyBorder="1" applyAlignment="1">
      <alignment horizontal="center" vertical="center"/>
    </xf>
    <xf numFmtId="165" fontId="10" fillId="3" borderId="4" xfId="2" applyNumberFormat="1" applyFont="1" applyFill="1" applyBorder="1" applyAlignment="1">
      <alignment horizontal="center" vertical="center"/>
    </xf>
    <xf numFmtId="165" fontId="10" fillId="5" borderId="8" xfId="2" applyNumberFormat="1" applyFont="1" applyFill="1" applyBorder="1" applyAlignment="1">
      <alignment horizontal="center" vertical="center"/>
    </xf>
    <xf numFmtId="165" fontId="10" fillId="5" borderId="7" xfId="2" applyNumberFormat="1" applyFont="1" applyFill="1" applyBorder="1" applyAlignment="1">
      <alignment horizontal="center" vertical="center"/>
    </xf>
    <xf numFmtId="165" fontId="11" fillId="0" borderId="6" xfId="4" applyNumberFormat="1" applyFont="1" applyBorder="1" applyAlignment="1">
      <alignment horizontal="center" vertical="center"/>
    </xf>
    <xf numFmtId="165" fontId="12" fillId="6" borderId="9" xfId="2" applyNumberFormat="1" applyFont="1" applyFill="1" applyBorder="1" applyAlignment="1">
      <alignment horizontal="center" vertical="center"/>
    </xf>
    <xf numFmtId="165" fontId="11" fillId="0" borderId="6" xfId="4" applyNumberFormat="1" applyFont="1" applyBorder="1" applyAlignment="1" applyProtection="1">
      <alignment horizontal="center" vertical="center"/>
      <protection locked="0"/>
    </xf>
    <xf numFmtId="165" fontId="11" fillId="0" borderId="9" xfId="4" applyNumberFormat="1" applyFont="1" applyBorder="1" applyAlignment="1">
      <alignment horizontal="center" vertical="center"/>
    </xf>
    <xf numFmtId="0" fontId="0" fillId="8" borderId="0" xfId="0" applyFill="1"/>
  </cellXfs>
  <cellStyles count="6">
    <cellStyle name="Normal" xfId="0" builtinId="0"/>
    <cellStyle name="Normal 19" xfId="3" xr:uid="{A94B5C6E-1FF8-4707-BD05-9E36A06A3FD9}"/>
    <cellStyle name="Normal 20 3" xfId="1" xr:uid="{590DCF77-5658-4BD6-9807-5B4E589631CB}"/>
    <cellStyle name="Normal 3" xfId="2" xr:uid="{1B05B74B-5402-4B44-B210-7E6666F5BBF7}"/>
    <cellStyle name="Normal 5" xfId="5" xr:uid="{1A687105-0746-4F74-9B22-EEBC3B1C7E1A}"/>
    <cellStyle name="Separador de milhares 3" xfId="4" xr:uid="{6B0D37AF-5E48-4790-ADA8-79288BA8C1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1971-28BD-43EF-B594-BC65201727D7}">
  <dimension ref="B2:I80"/>
  <sheetViews>
    <sheetView workbookViewId="0">
      <selection activeCell="G3" sqref="G3:G41"/>
    </sheetView>
  </sheetViews>
  <sheetFormatPr defaultRowHeight="15" x14ac:dyDescent="0.25"/>
  <cols>
    <col min="2" max="2" width="56.7109375" bestFit="1" customWidth="1"/>
    <col min="3" max="5" width="15.7109375" customWidth="1"/>
    <col min="6" max="6" width="29.7109375" bestFit="1" customWidth="1"/>
    <col min="7" max="7" width="22.28515625" bestFit="1" customWidth="1"/>
  </cols>
  <sheetData>
    <row r="2" spans="2:9" x14ac:dyDescent="0.25">
      <c r="C2" s="18"/>
      <c r="D2" s="18"/>
      <c r="E2" s="18"/>
    </row>
    <row r="3" spans="2:9" ht="15.75" x14ac:dyDescent="0.25">
      <c r="B3" s="1"/>
      <c r="C3" s="19" t="s">
        <v>38</v>
      </c>
      <c r="D3" s="19" t="s">
        <v>39</v>
      </c>
      <c r="E3" s="19" t="s">
        <v>40</v>
      </c>
    </row>
    <row r="4" spans="2:9" ht="16.5" x14ac:dyDescent="0.25">
      <c r="B4" s="2" t="s">
        <v>0</v>
      </c>
      <c r="C4" s="20"/>
      <c r="D4" s="20"/>
      <c r="E4" s="20"/>
      <c r="F4" s="35" t="s">
        <v>46</v>
      </c>
      <c r="I4" t="s">
        <v>44</v>
      </c>
    </row>
    <row r="5" spans="2:9" ht="17.25" x14ac:dyDescent="0.25">
      <c r="B5" s="3" t="s">
        <v>1</v>
      </c>
      <c r="C5" s="21"/>
      <c r="D5" s="34"/>
      <c r="E5" s="34"/>
      <c r="F5" t="s">
        <v>41</v>
      </c>
      <c r="I5" t="s">
        <v>45</v>
      </c>
    </row>
    <row r="6" spans="2:9" ht="17.25" x14ac:dyDescent="0.25">
      <c r="B6" s="4" t="s">
        <v>2</v>
      </c>
      <c r="C6" s="21"/>
      <c r="D6" s="24"/>
      <c r="E6" s="24"/>
      <c r="F6" t="s">
        <v>42</v>
      </c>
    </row>
    <row r="7" spans="2:9" ht="17.25" x14ac:dyDescent="0.25">
      <c r="B7" s="5" t="s">
        <v>3</v>
      </c>
      <c r="C7" s="22">
        <f>+C5-C6</f>
        <v>0</v>
      </c>
      <c r="D7" s="22">
        <f>+D5-D6</f>
        <v>0</v>
      </c>
      <c r="E7" s="22">
        <f>+E5-E6</f>
        <v>0</v>
      </c>
    </row>
    <row r="8" spans="2:9" ht="17.25" x14ac:dyDescent="0.25">
      <c r="B8" s="6" t="s">
        <v>4</v>
      </c>
      <c r="C8" s="23"/>
      <c r="D8" s="23"/>
      <c r="E8" s="23"/>
      <c r="F8" t="s">
        <v>42</v>
      </c>
    </row>
    <row r="9" spans="2:9" ht="17.25" x14ac:dyDescent="0.25">
      <c r="B9" s="5" t="s">
        <v>5</v>
      </c>
      <c r="C9" s="22">
        <f>+C7-C8</f>
        <v>0</v>
      </c>
      <c r="D9" s="22">
        <f>+D7-D8</f>
        <v>0</v>
      </c>
      <c r="E9" s="22">
        <f>+E7-E8</f>
        <v>0</v>
      </c>
    </row>
    <row r="10" spans="2:9" ht="17.25" x14ac:dyDescent="0.25">
      <c r="B10" s="3" t="s">
        <v>6</v>
      </c>
      <c r="C10" s="21"/>
      <c r="D10" s="21"/>
      <c r="E10" s="21"/>
      <c r="F10" t="s">
        <v>42</v>
      </c>
    </row>
    <row r="11" spans="2:9" ht="17.25" x14ac:dyDescent="0.25">
      <c r="B11" s="4" t="s">
        <v>7</v>
      </c>
      <c r="C11" s="24"/>
      <c r="D11" s="24"/>
      <c r="E11" s="24"/>
      <c r="F11" t="s">
        <v>42</v>
      </c>
    </row>
    <row r="12" spans="2:9" ht="17.25" x14ac:dyDescent="0.25">
      <c r="B12" s="5" t="s">
        <v>8</v>
      </c>
      <c r="C12" s="22">
        <f>C9-C10-C11</f>
        <v>0</v>
      </c>
      <c r="D12" s="22">
        <f>D9-D10-D11</f>
        <v>0</v>
      </c>
      <c r="E12" s="22">
        <f>E9-E10-E11</f>
        <v>0</v>
      </c>
    </row>
    <row r="13" spans="2:9" ht="17.25" x14ac:dyDescent="0.25">
      <c r="B13" s="3" t="s">
        <v>9</v>
      </c>
      <c r="C13" s="21"/>
      <c r="D13" s="21"/>
      <c r="E13" s="21"/>
      <c r="F13" t="s">
        <v>43</v>
      </c>
    </row>
    <row r="14" spans="2:9" ht="17.25" x14ac:dyDescent="0.25">
      <c r="B14" s="7" t="s">
        <v>10</v>
      </c>
      <c r="C14" s="24"/>
      <c r="D14" s="24"/>
      <c r="E14" s="24"/>
      <c r="F14" t="s">
        <v>43</v>
      </c>
    </row>
    <row r="15" spans="2:9" ht="17.25" x14ac:dyDescent="0.25">
      <c r="B15" s="5" t="s">
        <v>11</v>
      </c>
      <c r="C15" s="22">
        <f>SUM(C12:C14)</f>
        <v>0</v>
      </c>
      <c r="D15" s="22">
        <f>SUM(D12:D14)</f>
        <v>0</v>
      </c>
      <c r="E15" s="22">
        <f>SUM(E12:E14)</f>
        <v>0</v>
      </c>
    </row>
    <row r="16" spans="2:9" ht="17.25" x14ac:dyDescent="0.25">
      <c r="B16" s="6" t="s">
        <v>12</v>
      </c>
      <c r="C16" s="23"/>
      <c r="D16" s="23"/>
      <c r="E16" s="23"/>
    </row>
    <row r="17" spans="2:6" ht="17.25" x14ac:dyDescent="0.25">
      <c r="B17" s="8" t="s">
        <v>13</v>
      </c>
      <c r="C17" s="25"/>
      <c r="D17" s="25"/>
      <c r="E17" s="25"/>
    </row>
    <row r="18" spans="2:6" ht="17.25" x14ac:dyDescent="0.25">
      <c r="B18" s="5" t="s">
        <v>14</v>
      </c>
      <c r="C18" s="22">
        <f>+C15+C16+C17-C14</f>
        <v>0</v>
      </c>
      <c r="D18" s="22">
        <f>+D15+D16+D17-D14</f>
        <v>0</v>
      </c>
      <c r="E18" s="22">
        <f>+E15+E16+E17-E14</f>
        <v>0</v>
      </c>
    </row>
    <row r="19" spans="2:6" ht="17.25" x14ac:dyDescent="0.25">
      <c r="B19" s="9" t="s">
        <v>15</v>
      </c>
      <c r="C19" s="26"/>
      <c r="D19" s="26"/>
      <c r="E19" s="26"/>
    </row>
    <row r="20" spans="2:6" ht="17.25" x14ac:dyDescent="0.25">
      <c r="B20" s="5" t="s">
        <v>16</v>
      </c>
      <c r="C20" s="22">
        <f>+C18+C19</f>
        <v>0</v>
      </c>
      <c r="D20" s="22">
        <f>+D18+D19</f>
        <v>0</v>
      </c>
      <c r="E20" s="22">
        <f>+E18+E19</f>
        <v>0</v>
      </c>
    </row>
    <row r="21" spans="2:6" ht="17.25" x14ac:dyDescent="0.25">
      <c r="B21" s="4" t="s">
        <v>17</v>
      </c>
      <c r="C21" s="21"/>
      <c r="D21" s="21"/>
      <c r="E21" s="21"/>
      <c r="F21" t="s">
        <v>42</v>
      </c>
    </row>
    <row r="22" spans="2:6" ht="17.25" x14ac:dyDescent="0.25">
      <c r="B22" s="10" t="s">
        <v>18</v>
      </c>
      <c r="C22" s="27"/>
      <c r="D22" s="27"/>
      <c r="E22" s="27"/>
      <c r="F22" t="s">
        <v>41</v>
      </c>
    </row>
    <row r="23" spans="2:6" ht="17.25" x14ac:dyDescent="0.25">
      <c r="B23" s="11" t="s">
        <v>19</v>
      </c>
      <c r="C23" s="28">
        <f>-C21+C22</f>
        <v>0</v>
      </c>
      <c r="D23" s="28">
        <f>-D21+D22</f>
        <v>0</v>
      </c>
      <c r="E23" s="28">
        <f>-E21+E22</f>
        <v>0</v>
      </c>
    </row>
    <row r="24" spans="2:6" ht="17.25" x14ac:dyDescent="0.25">
      <c r="B24" s="10" t="s">
        <v>20</v>
      </c>
      <c r="C24" s="27"/>
      <c r="D24" s="27"/>
      <c r="E24" s="27"/>
      <c r="F24" t="s">
        <v>43</v>
      </c>
    </row>
    <row r="25" spans="2:6" ht="17.25" x14ac:dyDescent="0.25">
      <c r="B25" s="4" t="s">
        <v>21</v>
      </c>
      <c r="C25" s="24"/>
      <c r="D25" s="24"/>
      <c r="E25" s="24"/>
      <c r="F25" t="s">
        <v>43</v>
      </c>
    </row>
    <row r="26" spans="2:6" ht="17.25" x14ac:dyDescent="0.25">
      <c r="B26" s="5" t="s">
        <v>22</v>
      </c>
      <c r="C26" s="22">
        <f>+C15+C23+C24+C25</f>
        <v>0</v>
      </c>
      <c r="D26" s="22">
        <f>+D15+D23+D24+D25</f>
        <v>0</v>
      </c>
      <c r="E26" s="22">
        <f>+E15+E23+E24+E25</f>
        <v>0</v>
      </c>
    </row>
    <row r="27" spans="2:6" ht="17.25" x14ac:dyDescent="0.25">
      <c r="B27" s="4" t="s">
        <v>23</v>
      </c>
      <c r="C27" s="21"/>
      <c r="D27" s="21"/>
      <c r="E27" s="21"/>
      <c r="F27" t="s">
        <v>43</v>
      </c>
    </row>
    <row r="28" spans="2:6" ht="17.25" x14ac:dyDescent="0.25">
      <c r="B28" s="4" t="s">
        <v>24</v>
      </c>
      <c r="C28" s="24"/>
      <c r="D28" s="24"/>
      <c r="E28" s="24"/>
      <c r="F28" t="s">
        <v>43</v>
      </c>
    </row>
    <row r="29" spans="2:6" ht="17.25" x14ac:dyDescent="0.25">
      <c r="B29" s="6" t="s">
        <v>25</v>
      </c>
      <c r="C29" s="23"/>
      <c r="D29" s="23"/>
      <c r="E29" s="23"/>
      <c r="F29" t="s">
        <v>43</v>
      </c>
    </row>
    <row r="30" spans="2:6" ht="17.25" x14ac:dyDescent="0.25">
      <c r="B30" s="12" t="s">
        <v>26</v>
      </c>
      <c r="C30" s="23"/>
      <c r="D30" s="23"/>
      <c r="E30" s="23"/>
      <c r="F30" t="s">
        <v>41</v>
      </c>
    </row>
    <row r="31" spans="2:6" ht="17.25" x14ac:dyDescent="0.25">
      <c r="B31" s="13" t="s">
        <v>27</v>
      </c>
      <c r="C31" s="29">
        <f>+C27+C28+C29-C30</f>
        <v>0</v>
      </c>
      <c r="D31" s="29">
        <f>+D27+D28+D29-D30</f>
        <v>0</v>
      </c>
      <c r="E31" s="29">
        <f>+E27+E28+E29-E30</f>
        <v>0</v>
      </c>
    </row>
    <row r="32" spans="2:6" ht="17.25" x14ac:dyDescent="0.25">
      <c r="B32" s="14" t="s">
        <v>28</v>
      </c>
      <c r="C32" s="30">
        <f>+C26+C31</f>
        <v>0</v>
      </c>
      <c r="D32" s="30">
        <f>+D26+D31</f>
        <v>0</v>
      </c>
      <c r="E32" s="30">
        <f>+E26+E31</f>
        <v>0</v>
      </c>
    </row>
    <row r="33" spans="2:6" ht="17.25" x14ac:dyDescent="0.25">
      <c r="B33" s="4" t="s">
        <v>29</v>
      </c>
      <c r="C33" s="21"/>
      <c r="D33" s="21"/>
      <c r="E33" s="21"/>
      <c r="F33" t="s">
        <v>43</v>
      </c>
    </row>
    <row r="34" spans="2:6" ht="17.25" x14ac:dyDescent="0.25">
      <c r="B34" s="4" t="s">
        <v>30</v>
      </c>
      <c r="C34" s="24"/>
      <c r="D34" s="24"/>
      <c r="E34" s="24"/>
      <c r="F34" t="s">
        <v>43</v>
      </c>
    </row>
    <row r="35" spans="2:6" ht="17.25" x14ac:dyDescent="0.25">
      <c r="B35" s="5" t="s">
        <v>31</v>
      </c>
      <c r="C35" s="22">
        <f>+C32-C33+C34</f>
        <v>0</v>
      </c>
      <c r="D35" s="22">
        <f>+D32-D33+D34</f>
        <v>0</v>
      </c>
      <c r="E35" s="22">
        <f>+E32-E33+E34</f>
        <v>0</v>
      </c>
    </row>
    <row r="36" spans="2:6" ht="17.25" x14ac:dyDescent="0.25">
      <c r="B36" s="4" t="s">
        <v>32</v>
      </c>
      <c r="C36" s="31"/>
      <c r="D36" s="31"/>
      <c r="E36" s="31"/>
      <c r="F36" t="s">
        <v>43</v>
      </c>
    </row>
    <row r="37" spans="2:6" ht="17.25" x14ac:dyDescent="0.25">
      <c r="B37" s="5" t="s">
        <v>33</v>
      </c>
      <c r="C37" s="22">
        <f>C35+C36</f>
        <v>0</v>
      </c>
      <c r="D37" s="22">
        <f>D35+D36</f>
        <v>0</v>
      </c>
      <c r="E37" s="22">
        <f>E35+E36</f>
        <v>0</v>
      </c>
    </row>
    <row r="38" spans="2:6" ht="17.25" x14ac:dyDescent="0.25">
      <c r="B38" s="15" t="s">
        <v>34</v>
      </c>
      <c r="C38" s="32">
        <f>C37+(C17+C30)+T31</f>
        <v>0</v>
      </c>
      <c r="D38" s="32">
        <f>D37+(D17+D30)+U31</f>
        <v>0</v>
      </c>
      <c r="E38" s="32">
        <f>E37+(E17+E30)+V31</f>
        <v>0</v>
      </c>
    </row>
    <row r="39" spans="2:6" ht="17.25" x14ac:dyDescent="0.25">
      <c r="B39" s="4" t="s">
        <v>35</v>
      </c>
      <c r="C39" s="21"/>
      <c r="D39" s="21"/>
      <c r="E39" s="21"/>
      <c r="F39" t="s">
        <v>42</v>
      </c>
    </row>
    <row r="40" spans="2:6" ht="17.25" x14ac:dyDescent="0.25">
      <c r="B40" s="7" t="s">
        <v>36</v>
      </c>
      <c r="C40" s="33"/>
      <c r="D40" s="33"/>
      <c r="E40" s="33"/>
    </row>
    <row r="41" spans="2:6" ht="17.25" x14ac:dyDescent="0.25">
      <c r="B41" s="5" t="s">
        <v>37</v>
      </c>
      <c r="C41" s="22">
        <f>C37-C39+C40</f>
        <v>0</v>
      </c>
      <c r="D41" s="22">
        <f>D37-D39+D40</f>
        <v>0</v>
      </c>
      <c r="E41" s="22">
        <f>E37-E39+E40</f>
        <v>0</v>
      </c>
    </row>
    <row r="42" spans="2:6" ht="16.5" x14ac:dyDescent="0.25">
      <c r="B42" s="16"/>
      <c r="C42" s="16"/>
      <c r="D42" s="17"/>
      <c r="E42" s="17"/>
    </row>
    <row r="43" spans="2:6" ht="16.5" x14ac:dyDescent="0.25">
      <c r="B43" s="17"/>
      <c r="C43" s="17"/>
      <c r="D43" s="17"/>
      <c r="E43" s="17"/>
    </row>
    <row r="44" spans="2:6" ht="16.5" x14ac:dyDescent="0.25">
      <c r="B44" s="17"/>
      <c r="C44" s="17"/>
      <c r="D44" s="17"/>
      <c r="E44" s="17"/>
    </row>
    <row r="45" spans="2:6" ht="16.5" x14ac:dyDescent="0.25">
      <c r="B45" s="17"/>
      <c r="C45" s="17"/>
      <c r="D45" s="17"/>
      <c r="E45" s="17"/>
    </row>
    <row r="46" spans="2:6" ht="16.5" x14ac:dyDescent="0.25">
      <c r="B46" s="17"/>
      <c r="C46" s="17"/>
      <c r="D46" s="17"/>
      <c r="E46" s="17"/>
    </row>
    <row r="47" spans="2:6" ht="16.5" x14ac:dyDescent="0.25">
      <c r="B47" s="17"/>
      <c r="C47" s="17"/>
      <c r="D47" s="17"/>
      <c r="E47" s="17"/>
    </row>
    <row r="48" spans="2:6" ht="16.5" x14ac:dyDescent="0.25">
      <c r="B48" s="17"/>
      <c r="C48" s="17"/>
      <c r="D48" s="17"/>
      <c r="E48" s="17"/>
    </row>
    <row r="49" spans="2:5" ht="16.5" x14ac:dyDescent="0.25">
      <c r="B49" s="17"/>
      <c r="C49" s="17"/>
      <c r="D49" s="17"/>
      <c r="E49" s="17"/>
    </row>
    <row r="50" spans="2:5" ht="16.5" x14ac:dyDescent="0.25">
      <c r="B50" s="17"/>
      <c r="C50" s="17"/>
      <c r="D50" s="17"/>
      <c r="E50" s="17"/>
    </row>
    <row r="51" spans="2:5" ht="16.5" x14ac:dyDescent="0.25">
      <c r="B51" s="17"/>
      <c r="C51" s="17"/>
      <c r="D51" s="17"/>
      <c r="E51" s="17"/>
    </row>
    <row r="52" spans="2:5" ht="16.5" x14ac:dyDescent="0.25">
      <c r="B52" s="17"/>
      <c r="C52" s="17"/>
      <c r="D52" s="17"/>
      <c r="E52" s="17"/>
    </row>
    <row r="53" spans="2:5" ht="16.5" x14ac:dyDescent="0.25">
      <c r="B53" s="17"/>
      <c r="C53" s="17"/>
      <c r="D53" s="17"/>
      <c r="E53" s="17"/>
    </row>
    <row r="54" spans="2:5" ht="16.5" x14ac:dyDescent="0.25">
      <c r="B54" s="17"/>
      <c r="C54" s="17"/>
      <c r="D54" s="17"/>
      <c r="E54" s="17"/>
    </row>
    <row r="55" spans="2:5" ht="16.5" x14ac:dyDescent="0.25">
      <c r="B55" s="17"/>
      <c r="C55" s="17"/>
      <c r="D55" s="17"/>
      <c r="E55" s="17"/>
    </row>
    <row r="56" spans="2:5" ht="16.5" x14ac:dyDescent="0.25">
      <c r="B56" s="17"/>
      <c r="C56" s="17"/>
      <c r="D56" s="17"/>
      <c r="E56" s="17"/>
    </row>
    <row r="57" spans="2:5" ht="16.5" x14ac:dyDescent="0.25">
      <c r="B57" s="17"/>
      <c r="C57" s="17"/>
      <c r="D57" s="17"/>
      <c r="E57" s="17"/>
    </row>
    <row r="58" spans="2:5" ht="16.5" x14ac:dyDescent="0.25">
      <c r="B58" s="17"/>
      <c r="C58" s="17"/>
      <c r="D58" s="17"/>
      <c r="E58" s="17"/>
    </row>
    <row r="59" spans="2:5" ht="16.5" x14ac:dyDescent="0.25">
      <c r="B59" s="17"/>
      <c r="C59" s="17"/>
      <c r="D59" s="17"/>
      <c r="E59" s="17"/>
    </row>
    <row r="60" spans="2:5" ht="16.5" x14ac:dyDescent="0.25">
      <c r="B60" s="17"/>
      <c r="C60" s="17"/>
      <c r="D60" s="17"/>
      <c r="E60" s="17"/>
    </row>
    <row r="61" spans="2:5" ht="16.5" x14ac:dyDescent="0.25">
      <c r="B61" s="17"/>
      <c r="C61" s="17"/>
      <c r="D61" s="17"/>
      <c r="E61" s="17"/>
    </row>
    <row r="62" spans="2:5" ht="16.5" x14ac:dyDescent="0.25">
      <c r="B62" s="17"/>
      <c r="C62" s="17"/>
      <c r="D62" s="17"/>
      <c r="E62" s="17"/>
    </row>
    <row r="63" spans="2:5" ht="16.5" x14ac:dyDescent="0.25">
      <c r="B63" s="17"/>
      <c r="C63" s="17"/>
      <c r="D63" s="17"/>
      <c r="E63" s="17"/>
    </row>
    <row r="64" spans="2:5" ht="16.5" x14ac:dyDescent="0.25">
      <c r="B64" s="17"/>
      <c r="C64" s="17"/>
      <c r="D64" s="17"/>
      <c r="E64" s="17"/>
    </row>
    <row r="65" spans="2:5" ht="16.5" x14ac:dyDescent="0.25">
      <c r="B65" s="17"/>
      <c r="C65" s="17"/>
      <c r="D65" s="17"/>
      <c r="E65" s="17"/>
    </row>
    <row r="66" spans="2:5" ht="16.5" x14ac:dyDescent="0.25">
      <c r="B66" s="17"/>
      <c r="C66" s="17"/>
      <c r="D66" s="17"/>
      <c r="E66" s="17"/>
    </row>
    <row r="67" spans="2:5" ht="16.5" x14ac:dyDescent="0.25">
      <c r="B67" s="17"/>
      <c r="C67" s="17"/>
      <c r="D67" s="17"/>
      <c r="E67" s="17"/>
    </row>
    <row r="68" spans="2:5" ht="16.5" x14ac:dyDescent="0.25">
      <c r="B68" s="17"/>
      <c r="C68" s="17"/>
      <c r="D68" s="17"/>
      <c r="E68" s="17"/>
    </row>
    <row r="69" spans="2:5" ht="16.5" x14ac:dyDescent="0.25">
      <c r="B69" s="17"/>
      <c r="C69" s="17"/>
      <c r="D69" s="17"/>
      <c r="E69" s="17"/>
    </row>
    <row r="70" spans="2:5" ht="16.5" x14ac:dyDescent="0.25">
      <c r="B70" s="17"/>
      <c r="C70" s="17"/>
      <c r="D70" s="17"/>
      <c r="E70" s="17"/>
    </row>
    <row r="71" spans="2:5" ht="16.5" x14ac:dyDescent="0.25">
      <c r="B71" s="17"/>
      <c r="C71" s="17"/>
      <c r="D71" s="17"/>
      <c r="E71" s="17"/>
    </row>
    <row r="72" spans="2:5" ht="16.5" x14ac:dyDescent="0.25">
      <c r="B72" s="17"/>
      <c r="C72" s="17"/>
      <c r="D72" s="17"/>
      <c r="E72" s="17"/>
    </row>
    <row r="73" spans="2:5" ht="16.5" x14ac:dyDescent="0.25">
      <c r="B73" s="17"/>
      <c r="C73" s="17"/>
      <c r="D73" s="17"/>
      <c r="E73" s="17"/>
    </row>
    <row r="74" spans="2:5" ht="16.5" x14ac:dyDescent="0.25">
      <c r="B74" s="17"/>
      <c r="C74" s="17"/>
      <c r="D74" s="17"/>
      <c r="E74" s="17"/>
    </row>
    <row r="75" spans="2:5" ht="16.5" x14ac:dyDescent="0.25">
      <c r="B75" s="17"/>
      <c r="C75" s="17"/>
      <c r="D75" s="17"/>
      <c r="E75" s="17"/>
    </row>
    <row r="76" spans="2:5" ht="16.5" x14ac:dyDescent="0.25">
      <c r="B76" s="17"/>
      <c r="C76" s="17"/>
      <c r="D76" s="17"/>
      <c r="E76" s="17"/>
    </row>
    <row r="77" spans="2:5" ht="16.5" x14ac:dyDescent="0.25">
      <c r="B77" s="17"/>
      <c r="C77" s="17"/>
      <c r="D77" s="17"/>
      <c r="E77" s="17"/>
    </row>
    <row r="78" spans="2:5" ht="16.5" x14ac:dyDescent="0.25">
      <c r="B78" s="17"/>
      <c r="C78" s="17"/>
      <c r="D78" s="17"/>
      <c r="E78" s="17"/>
    </row>
    <row r="79" spans="2:5" ht="16.5" x14ac:dyDescent="0.25">
      <c r="B79" s="17"/>
    </row>
    <row r="80" spans="2:5" ht="16.5" x14ac:dyDescent="0.25">
      <c r="B80" s="17"/>
    </row>
  </sheetData>
  <pageMargins left="0.7" right="0.7" top="0.75" bottom="0.75" header="0.3" footer="0.3"/>
  <headerFooter>
    <oddHeader>&amp;L&amp;"Aptos"&amp;10&amp;K000000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5F67-8DCF-4EC5-B5BF-5CBED74AF3D3}">
  <dimension ref="C2:F10"/>
  <sheetViews>
    <sheetView tabSelected="1" zoomScale="115" zoomScaleNormal="115" workbookViewId="0">
      <selection activeCell="E23" sqref="E23"/>
    </sheetView>
  </sheetViews>
  <sheetFormatPr defaultRowHeight="15" x14ac:dyDescent="0.25"/>
  <cols>
    <col min="3" max="3" width="21.7109375" bestFit="1" customWidth="1"/>
    <col min="5" max="5" width="29.7109375" bestFit="1" customWidth="1"/>
    <col min="6" max="6" width="22.28515625" bestFit="1" customWidth="1"/>
    <col min="8" max="8" width="15.28515625" bestFit="1" customWidth="1"/>
  </cols>
  <sheetData>
    <row r="2" spans="3:6" x14ac:dyDescent="0.25">
      <c r="C2" s="35" t="s">
        <v>48</v>
      </c>
      <c r="E2" s="35" t="s">
        <v>46</v>
      </c>
      <c r="F2" s="35" t="s">
        <v>47</v>
      </c>
    </row>
    <row r="3" spans="3:6" x14ac:dyDescent="0.25">
      <c r="C3" t="s">
        <v>41</v>
      </c>
      <c r="E3" t="s">
        <v>41</v>
      </c>
      <c r="F3" t="s">
        <v>50</v>
      </c>
    </row>
    <row r="4" spans="3:6" x14ac:dyDescent="0.25">
      <c r="C4" t="s">
        <v>49</v>
      </c>
      <c r="E4" t="s">
        <v>41</v>
      </c>
      <c r="F4" t="s">
        <v>51</v>
      </c>
    </row>
    <row r="6" spans="3:6" x14ac:dyDescent="0.25">
      <c r="C6" t="s">
        <v>41</v>
      </c>
      <c r="E6" t="s">
        <v>42</v>
      </c>
      <c r="F6" t="s">
        <v>51</v>
      </c>
    </row>
    <row r="7" spans="3:6" x14ac:dyDescent="0.25">
      <c r="C7" t="s">
        <v>49</v>
      </c>
      <c r="E7" t="s">
        <v>42</v>
      </c>
      <c r="F7" t="s">
        <v>50</v>
      </c>
    </row>
    <row r="9" spans="3:6" x14ac:dyDescent="0.25">
      <c r="C9" t="s">
        <v>49</v>
      </c>
      <c r="E9" t="s">
        <v>43</v>
      </c>
      <c r="F9" t="s">
        <v>50</v>
      </c>
    </row>
    <row r="10" spans="3:6" x14ac:dyDescent="0.25">
      <c r="C10" t="s">
        <v>41</v>
      </c>
      <c r="E10" t="s">
        <v>43</v>
      </c>
      <c r="F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Shadow</vt:lpstr>
      <vt:lpstr>INTERPRETAÇÃO</vt:lpstr>
    </vt:vector>
  </TitlesOfParts>
  <Company>Santander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Godoi Cipelli</dc:creator>
  <cp:lastModifiedBy>Victor Godoi Cipelli</cp:lastModifiedBy>
  <dcterms:created xsi:type="dcterms:W3CDTF">2026-05-26T12:49:35Z</dcterms:created>
  <dcterms:modified xsi:type="dcterms:W3CDTF">2026-05-26T13:16:23Z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2026-05-26T12:52:35Z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cbc2b73a-5dad-4179-aa62-8e57dfde2181</vt:lpwstr>
  </property>
  <property fmtid="{D5CDD505-2E9C-101B-9397-08002B2CF9AE}" pid="8" name="MSIP_Label_3c41c091-3cbc-4dba-8b59-ce62f19500db_ContentBits">
    <vt:lpwstr>1</vt:lpwstr>
  </property>
  <property fmtid="{D5CDD505-2E9C-101B-9397-08002B2CF9AE}" pid="9" name="MSIP_Label_3c41c091-3cbc-4dba-8b59-ce62f19500db_Tag">
    <vt:lpwstr>10, 0, 1, 1</vt:lpwstr>
  </property>
</Properties>
</file>